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_2021" sheetId="1" r:id="rId5"/>
    <sheet state="visible" name="Contas_2022" sheetId="2" r:id="rId6"/>
    <sheet state="visible" name="contas_2023" sheetId="3" r:id="rId7"/>
    <sheet state="visible" name="Contas_2024" sheetId="4" r:id="rId8"/>
    <sheet state="visible" name="Contas_2025" sheetId="5" r:id="rId9"/>
    <sheet state="visible" name="Contas_2026" sheetId="6" r:id="rId10"/>
    <sheet state="visible" name="Contas_2027" sheetId="7" r:id="rId11"/>
  </sheets>
  <definedNames/>
  <calcPr/>
</workbook>
</file>

<file path=xl/sharedStrings.xml><?xml version="1.0" encoding="utf-8"?>
<sst xmlns="http://schemas.openxmlformats.org/spreadsheetml/2006/main" count="370" uniqueCount="143">
  <si>
    <t xml:space="preserve"> </t>
  </si>
  <si>
    <t>Consórcio</t>
  </si>
  <si>
    <t>Seguro</t>
  </si>
  <si>
    <t>Itaú</t>
  </si>
  <si>
    <t>Energia</t>
  </si>
  <si>
    <t>Mãe</t>
  </si>
  <si>
    <t>Nubank</t>
  </si>
  <si>
    <t>Samara</t>
  </si>
  <si>
    <t>Bicicleta</t>
  </si>
  <si>
    <t>Terreno</t>
  </si>
  <si>
    <t>Casa</t>
  </si>
  <si>
    <t>Condominio</t>
  </si>
  <si>
    <t>Internet</t>
  </si>
  <si>
    <t>Cartão</t>
  </si>
  <si>
    <t>doglas</t>
  </si>
  <si>
    <t>Total</t>
  </si>
  <si>
    <t>A receber</t>
  </si>
  <si>
    <t>Juazeiro</t>
  </si>
  <si>
    <t>Líquido</t>
  </si>
  <si>
    <t>SENAC</t>
  </si>
  <si>
    <t>TCC Mateus e Michael</t>
  </si>
  <si>
    <t>TCC</t>
  </si>
  <si>
    <t>Extras</t>
  </si>
  <si>
    <t>Catiane</t>
  </si>
  <si>
    <t>Salário_Final</t>
  </si>
  <si>
    <t>Faespe</t>
  </si>
  <si>
    <t>Janeiro</t>
  </si>
  <si>
    <t>Total_Contas</t>
  </si>
  <si>
    <t>Saldo</t>
  </si>
  <si>
    <t>BB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</si>
  <si>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</si>
  <si>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</si>
  <si>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</si>
  <si>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</si>
  <si>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</si>
  <si>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</si>
  <si>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</si>
  <si>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</si>
  <si>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</si>
  <si>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</si>
  <si>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</si>
  <si>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Divida Selma</t>
  </si>
  <si>
    <t>Plano</t>
  </si>
  <si>
    <t xml:space="preserve">Bolão </t>
  </si>
  <si>
    <t xml:space="preserve">Douglas </t>
  </si>
  <si>
    <t>.</t>
  </si>
  <si>
    <t xml:space="preserve">Cartões </t>
  </si>
  <si>
    <t>inter</t>
  </si>
  <si>
    <t>gran cursos</t>
  </si>
  <si>
    <t xml:space="preserve">bola </t>
  </si>
  <si>
    <t>Mari</t>
  </si>
  <si>
    <t>iptu</t>
  </si>
  <si>
    <t>Gasolina</t>
  </si>
  <si>
    <t>Nova Petrolina</t>
  </si>
  <si>
    <t>Cartões</t>
  </si>
  <si>
    <t>TOTAL</t>
  </si>
  <si>
    <t>BALANÇO FINANCEIRO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</si>
  <si>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</si>
  <si>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</si>
  <si>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</si>
  <si>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</si>
  <si>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</si>
  <si>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</si>
  <si>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</si>
  <si>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</si>
  <si>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</si>
  <si>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</si>
  <si>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</si>
  <si>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</si>
  <si>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TOTAL </t>
  </si>
  <si>
    <t>Receitas</t>
  </si>
  <si>
    <t>Salário</t>
  </si>
  <si>
    <t>Décimo</t>
  </si>
  <si>
    <t>Férias</t>
  </si>
  <si>
    <t>Bolsa</t>
  </si>
  <si>
    <t>Outras</t>
  </si>
  <si>
    <t>DESPESAS</t>
  </si>
  <si>
    <t>TOTAL DE GASTOS</t>
  </si>
  <si>
    <t>CARRO</t>
  </si>
  <si>
    <t>Consorcio</t>
  </si>
  <si>
    <t>CARTÕES</t>
  </si>
  <si>
    <t>Bola</t>
  </si>
  <si>
    <t>Inter</t>
  </si>
  <si>
    <t>CASA</t>
  </si>
  <si>
    <t>Feira</t>
  </si>
  <si>
    <t>POUPANÇA</t>
  </si>
  <si>
    <t>TERRENOS</t>
  </si>
  <si>
    <t>LAZER</t>
  </si>
  <si>
    <t>Lazer</t>
  </si>
  <si>
    <t>Massangano</t>
  </si>
  <si>
    <t>Viagem</t>
  </si>
  <si>
    <t>SAÚDE</t>
  </si>
  <si>
    <t>ESTUDOS</t>
  </si>
  <si>
    <t>Gran Cursos</t>
  </si>
  <si>
    <t>GASTOS ROTATIVOS</t>
  </si>
  <si>
    <t>INTERCALADA</t>
  </si>
  <si>
    <t>IPVA</t>
  </si>
  <si>
    <t>caixa</t>
  </si>
  <si>
    <t>mãe de mari</t>
  </si>
  <si>
    <t>Doglas</t>
  </si>
  <si>
    <t xml:space="preserve">doc </t>
  </si>
  <si>
    <t>ipva</t>
  </si>
  <si>
    <t>Felipe</t>
  </si>
  <si>
    <t>Pedra Linda</t>
  </si>
  <si>
    <t>casa</t>
  </si>
  <si>
    <t>entrada</t>
  </si>
  <si>
    <t>Prova IF</t>
  </si>
  <si>
    <t>VALLE PETROLINA</t>
  </si>
  <si>
    <t>Terrenos</t>
  </si>
  <si>
    <t xml:space="preserve">financiamento </t>
  </si>
  <si>
    <t>Condomínio</t>
  </si>
  <si>
    <t>Pedrinhas</t>
  </si>
  <si>
    <t>Mãe de Mari</t>
  </si>
  <si>
    <t>mãe</t>
  </si>
  <si>
    <t>ipca</t>
  </si>
  <si>
    <t>06 de deze</t>
  </si>
  <si>
    <t>cdb</t>
  </si>
  <si>
    <t>selic</t>
  </si>
  <si>
    <t>total</t>
  </si>
  <si>
    <t>saldo devedor</t>
  </si>
  <si>
    <t xml:space="preserve">Total </t>
  </si>
  <si>
    <t>Fontes</t>
  </si>
  <si>
    <t>Valor Acumulado</t>
  </si>
  <si>
    <t>Total Recebido</t>
  </si>
  <si>
    <t>Sogra</t>
  </si>
  <si>
    <t>Pai de Mari</t>
  </si>
  <si>
    <t xml:space="preserve"> Total Débito</t>
  </si>
  <si>
    <t>IPCA</t>
  </si>
  <si>
    <t>clara</t>
  </si>
  <si>
    <t>Matheus</t>
  </si>
  <si>
    <t>Selic</t>
  </si>
  <si>
    <t>CDB</t>
  </si>
  <si>
    <t>Retiradas</t>
  </si>
  <si>
    <t>Valor Retirado</t>
  </si>
  <si>
    <t>Jessica/CredAmigo</t>
  </si>
  <si>
    <t xml:space="preserve">pai de Mari </t>
  </si>
  <si>
    <t>bolo presente  metade</t>
  </si>
  <si>
    <t>remédio niki</t>
  </si>
  <si>
    <t xml:space="preserve">vestidos para casamento </t>
  </si>
  <si>
    <t xml:space="preserve">saf </t>
  </si>
  <si>
    <t>cortina</t>
  </si>
  <si>
    <t>pedido na unha</t>
  </si>
  <si>
    <t>carne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</si>
</sst>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 mmmm"/>
    <numFmt numFmtId="166" formatCode="dd/mm/yyyy"/>
    <numFmt numFmtId="167" formatCode="d/m/yyyy"/>
  </numFmts>
  <fonts count="20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sz val="11.0"/>
      <color rgb="FFFFFFFF"/>
      <name val="Arial"/>
    </font>
    <font>
      <sz val="12.0"/>
      <color rgb="FFFFFFFF"/>
      <name val="Arial"/>
      <scheme val="minor"/>
    </font>
    <font>
      <sz val="12.0"/>
      <color rgb="FF000000"/>
      <name val="Arial"/>
      <scheme val="minor"/>
    </font>
    <font>
      <color rgb="FFFFFFFF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2.0"/>
      <color rgb="FFFFFFFF"/>
      <name val="Arial"/>
    </font>
    <font/>
    <font>
      <sz val="12.0"/>
      <color rgb="FF000000"/>
      <name val="Arial"/>
    </font>
    <font>
      <b/>
      <color rgb="FFFFFFFF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4C1130"/>
        <bgColor rgb="FF4C1130"/>
      </patternFill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0" fontId="7" numFmtId="0" xfId="0" applyFont="1"/>
    <xf borderId="0" fillId="7" fontId="2" numFmtId="164" xfId="0" applyAlignment="1" applyFont="1" applyNumberFormat="1">
      <alignment horizontal="center" readingOrder="0"/>
    </xf>
    <xf borderId="0" fillId="7" fontId="2" numFmtId="164" xfId="0" applyAlignment="1" applyFont="1" applyNumberFormat="1">
      <alignment horizontal="center"/>
    </xf>
    <xf borderId="0" fillId="7" fontId="2" numFmtId="164" xfId="0" applyFont="1" applyNumberFormat="1"/>
    <xf borderId="0" fillId="6" fontId="9" numFmtId="0" xfId="0" applyAlignment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8" fontId="9" numFmtId="164" xfId="0" applyAlignment="1" applyFont="1" applyNumberFormat="1">
      <alignment horizontal="center" readingOrder="0"/>
    </xf>
    <xf borderId="0" fillId="5" fontId="10" numFmtId="0" xfId="0" applyAlignment="1" applyFont="1">
      <alignment horizontal="center"/>
    </xf>
    <xf borderId="0" fillId="4" fontId="7" numFmtId="0" xfId="0" applyAlignment="1" applyFont="1">
      <alignment horizontal="center" readingOrder="0"/>
    </xf>
    <xf borderId="0" fillId="5" fontId="9" numFmtId="164" xfId="0" applyAlignment="1" applyFont="1" applyNumberFormat="1">
      <alignment horizontal="center"/>
    </xf>
    <xf borderId="0" fillId="7" fontId="11" numFmtId="0" xfId="0" applyAlignment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5" fontId="9" numFmtId="164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7" numFmtId="0" xfId="0" applyFont="1"/>
    <xf borderId="0" fillId="9" fontId="7" numFmtId="0" xfId="0" applyAlignment="1" applyFill="1" applyFont="1">
      <alignment horizontal="center" readingOrder="0"/>
    </xf>
    <xf borderId="0" fillId="7" fontId="12" numFmtId="0" xfId="0" applyAlignment="1" applyFont="1">
      <alignment horizontal="center" readingOrder="0"/>
    </xf>
    <xf borderId="0" fillId="6" fontId="9" numFmtId="164" xfId="0" applyAlignment="1" applyFont="1" applyNumberFormat="1">
      <alignment horizontal="center" readingOrder="0"/>
    </xf>
    <xf borderId="0" fillId="7" fontId="7" numFmtId="0" xfId="0" applyFont="1"/>
    <xf borderId="0" fillId="10" fontId="10" numFmtId="0" xfId="0" applyAlignment="1" applyFill="1" applyFont="1">
      <alignment horizontal="center" readingOrder="0"/>
    </xf>
    <xf borderId="0" fillId="7" fontId="1" numFmtId="164" xfId="0" applyAlignment="1" applyFont="1" applyNumberFormat="1">
      <alignment horizontal="center" readingOrder="0"/>
    </xf>
    <xf borderId="1" fillId="2" fontId="13" numFmtId="0" xfId="0" applyAlignment="1" applyBorder="1" applyFont="1">
      <alignment readingOrder="0"/>
    </xf>
    <xf borderId="1" fillId="2" fontId="13" numFmtId="0" xfId="0" applyAlignment="1" applyBorder="1" applyFont="1">
      <alignment horizontal="center" readingOrder="0"/>
    </xf>
    <xf borderId="0" fillId="0" fontId="7" numFmtId="164" xfId="0" applyAlignment="1" applyFont="1" applyNumberFormat="1">
      <alignment horizontal="center"/>
    </xf>
    <xf borderId="1" fillId="4" fontId="14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center" readingOrder="0"/>
    </xf>
    <xf borderId="1" fillId="8" fontId="15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 readingOrder="0"/>
    </xf>
    <xf borderId="1" fillId="11" fontId="4" numFmtId="0" xfId="0" applyAlignment="1" applyBorder="1" applyFill="1" applyFont="1">
      <alignment horizontal="center" readingOrder="0"/>
    </xf>
    <xf borderId="1" fillId="7" fontId="13" numFmtId="164" xfId="0" applyAlignment="1" applyBorder="1" applyFont="1" applyNumberForma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1" fillId="7" fontId="13" numFmtId="164" xfId="0" applyAlignment="1" applyBorder="1" applyFont="1" applyNumberFormat="1">
      <alignment horizontal="center"/>
    </xf>
    <xf borderId="1" fillId="6" fontId="16" numFmtId="164" xfId="0" applyAlignment="1" applyBorder="1" applyFont="1" applyNumberFormat="1">
      <alignment horizontal="center" readingOrder="0"/>
    </xf>
    <xf borderId="1" fillId="8" fontId="16" numFmtId="164" xfId="0" applyAlignment="1" applyBorder="1" applyFont="1" applyNumberFormat="1">
      <alignment horizontal="center" readingOrder="0"/>
    </xf>
    <xf borderId="1" fillId="5" fontId="16" numFmtId="164" xfId="0" applyAlignment="1" applyBorder="1" applyFont="1" applyNumberFormat="1">
      <alignment horizontal="center"/>
    </xf>
    <xf borderId="1" fillId="11" fontId="4" numFmtId="164" xfId="0" applyAlignment="1" applyBorder="1" applyFont="1" applyNumberFormat="1">
      <alignment horizontal="center"/>
    </xf>
    <xf borderId="0" fillId="12" fontId="12" numFmtId="0" xfId="0" applyAlignment="1" applyFill="1" applyFont="1">
      <alignment horizontal="center" readingOrder="0"/>
    </xf>
    <xf borderId="0" fillId="7" fontId="12" numFmtId="164" xfId="0" applyFont="1" applyNumberFormat="1"/>
    <xf borderId="0" fillId="7" fontId="12" numFmtId="164" xfId="0" applyAlignment="1" applyFont="1" applyNumberFormat="1">
      <alignment horizontal="center"/>
    </xf>
    <xf borderId="0" fillId="12" fontId="12" numFmtId="164" xfId="0" applyFont="1" applyNumberFormat="1"/>
    <xf borderId="2" fillId="2" fontId="13" numFmtId="0" xfId="0" applyAlignment="1" applyBorder="1" applyFont="1">
      <alignment horizontal="center" readingOrder="0" vertical="center"/>
    </xf>
    <xf borderId="3" fillId="0" fontId="17" numFmtId="0" xfId="0" applyBorder="1" applyFont="1"/>
    <xf borderId="4" fillId="13" fontId="15" numFmtId="164" xfId="0" applyAlignment="1" applyBorder="1" applyFill="1" applyFont="1" applyNumberFormat="1">
      <alignment horizontal="center" readingOrder="0" vertical="center"/>
    </xf>
    <xf borderId="5" fillId="0" fontId="17" numFmtId="0" xfId="0" applyBorder="1" applyFont="1"/>
    <xf borderId="4" fillId="0" fontId="15" numFmtId="164" xfId="0" applyAlignment="1" applyBorder="1" applyFont="1" applyNumberFormat="1">
      <alignment horizontal="center" readingOrder="0" vertical="center"/>
    </xf>
    <xf borderId="6" fillId="0" fontId="7" numFmtId="0" xfId="0" applyBorder="1" applyFont="1"/>
    <xf borderId="7" fillId="0" fontId="17" numFmtId="0" xfId="0" applyBorder="1" applyFont="1"/>
    <xf borderId="8" fillId="0" fontId="17" numFmtId="0" xfId="0" applyBorder="1" applyFont="1"/>
    <xf borderId="4" fillId="2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6" fillId="14" fontId="16" numFmtId="0" xfId="0" applyAlignment="1" applyBorder="1" applyFill="1" applyFont="1">
      <alignment horizontal="center" readingOrder="0"/>
    </xf>
    <xf borderId="9" fillId="13" fontId="16" numFmtId="0" xfId="0" applyAlignment="1" applyBorder="1" applyFont="1">
      <alignment horizontal="center" readingOrder="0" vertical="center"/>
    </xf>
    <xf borderId="6" fillId="13" fontId="16" numFmtId="0" xfId="0" applyAlignment="1" applyBorder="1" applyFont="1">
      <alignment horizontal="center" readingOrder="0" shrinkToFit="0" wrapText="1"/>
    </xf>
    <xf borderId="4" fillId="7" fontId="13" numFmtId="164" xfId="0" applyAlignment="1" applyBorder="1" applyFont="1" applyNumberFormat="1">
      <alignment horizontal="center" readingOrder="0"/>
    </xf>
    <xf borderId="6" fillId="14" fontId="16" numFmtId="164" xfId="0" applyAlignment="1" applyBorder="1" applyFont="1" applyNumberFormat="1">
      <alignment horizontal="center"/>
    </xf>
    <xf borderId="10" fillId="0" fontId="17" numFmtId="0" xfId="0" applyBorder="1" applyFont="1"/>
    <xf borderId="4" fillId="0" fontId="13" numFmtId="164" xfId="0" applyAlignment="1" applyBorder="1" applyFont="1" applyNumberFormat="1">
      <alignment horizontal="center" readingOrder="0"/>
    </xf>
    <xf borderId="1" fillId="12" fontId="10" numFmtId="0" xfId="0" applyAlignment="1" applyBorder="1" applyFont="1">
      <alignment readingOrder="0"/>
    </xf>
    <xf borderId="1" fillId="7" fontId="10" numFmtId="164" xfId="0" applyBorder="1" applyFont="1" applyNumberFormat="1"/>
    <xf borderId="11" fillId="0" fontId="17" numFmtId="0" xfId="0" applyBorder="1" applyFont="1"/>
    <xf borderId="1" fillId="12" fontId="10" numFmtId="164" xfId="0" applyBorder="1" applyFont="1" applyNumberFormat="1"/>
    <xf borderId="1" fillId="12" fontId="3" numFmtId="164" xfId="0" applyAlignment="1" applyBorder="1" applyFont="1" applyNumberFormat="1">
      <alignment horizontal="center"/>
    </xf>
    <xf borderId="4" fillId="15" fontId="16" numFmtId="0" xfId="0" applyAlignment="1" applyBorder="1" applyFill="1" applyFont="1">
      <alignment horizontal="center" readingOrder="0" vertical="center"/>
    </xf>
    <xf borderId="4" fillId="15" fontId="16" numFmtId="164" xfId="0" applyAlignment="1" applyBorder="1" applyFont="1" applyNumberFormat="1">
      <alignment horizontal="center" readingOrder="0"/>
    </xf>
    <xf borderId="6" fillId="3" fontId="16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horizontal="center" readingOrder="0" shrinkToFit="0" wrapText="1"/>
    </xf>
    <xf borderId="4" fillId="3" fontId="16" numFmtId="164" xfId="0" applyAlignment="1" applyBorder="1" applyFont="1" applyNumberFormat="1">
      <alignment horizontal="center" readingOrder="0"/>
    </xf>
    <xf borderId="4" fillId="14" fontId="16" numFmtId="164" xfId="0" applyAlignment="1" applyBorder="1" applyFont="1" applyNumberFormat="1">
      <alignment horizontal="center"/>
    </xf>
    <xf borderId="9" fillId="16" fontId="16" numFmtId="0" xfId="0" applyAlignment="1" applyBorder="1" applyFill="1" applyFont="1">
      <alignment horizontal="center" readingOrder="0" vertical="center"/>
    </xf>
    <xf borderId="6" fillId="16" fontId="16" numFmtId="0" xfId="0" applyAlignment="1" applyBorder="1" applyFont="1">
      <alignment horizontal="center" readingOrder="0"/>
    </xf>
    <xf borderId="6" fillId="7" fontId="13" numFmtId="164" xfId="0" applyAlignment="1" applyBorder="1" applyFont="1" applyNumberFormat="1">
      <alignment horizontal="center" readingOrder="0"/>
    </xf>
    <xf borderId="9" fillId="16" fontId="13" numFmtId="164" xfId="0" applyAlignment="1" applyBorder="1" applyFont="1" applyNumberFormat="1">
      <alignment horizontal="center" readingOrder="0" vertical="center"/>
    </xf>
    <xf borderId="10" fillId="16" fontId="16" numFmtId="0" xfId="0" applyAlignment="1" applyBorder="1" applyFont="1">
      <alignment horizontal="center" readingOrder="0" vertical="center"/>
    </xf>
    <xf borderId="6" fillId="0" fontId="13" numFmtId="164" xfId="0" applyAlignment="1" applyBorder="1" applyFont="1" applyNumberFormat="1">
      <alignment horizontal="center" readingOrder="0"/>
    </xf>
    <xf borderId="9" fillId="11" fontId="18" numFmtId="0" xfId="0" applyAlignment="1" applyBorder="1" applyFont="1">
      <alignment horizontal="center" readingOrder="0" vertical="center"/>
    </xf>
    <xf borderId="6" fillId="11" fontId="18" numFmtId="0" xfId="0" applyAlignment="1" applyBorder="1" applyFont="1">
      <alignment horizontal="center" readingOrder="0"/>
    </xf>
    <xf borderId="6" fillId="14" fontId="16" numFmtId="0" xfId="0" applyAlignment="1" applyBorder="1" applyFont="1">
      <alignment horizontal="center"/>
    </xf>
    <xf borderId="9" fillId="7" fontId="13" numFmtId="164" xfId="0" applyAlignment="1" applyBorder="1" applyFont="1" applyNumberFormat="1">
      <alignment horizontal="center" readingOrder="0" vertical="center"/>
    </xf>
    <xf borderId="11" fillId="16" fontId="16" numFmtId="0" xfId="0" applyAlignment="1" applyBorder="1" applyFont="1">
      <alignment horizontal="center" readingOrder="0" vertical="center"/>
    </xf>
    <xf borderId="6" fillId="11" fontId="18" numFmtId="0" xfId="0" applyAlignment="1" applyBorder="1" applyFont="1">
      <alignment horizontal="center" readingOrder="0" vertical="center"/>
    </xf>
    <xf borderId="9" fillId="17" fontId="18" numFmtId="0" xfId="0" applyAlignment="1" applyBorder="1" applyFill="1" applyFont="1">
      <alignment horizontal="center" readingOrder="0" vertical="center"/>
    </xf>
    <xf borderId="6" fillId="17" fontId="18" numFmtId="0" xfId="0" applyAlignment="1" applyBorder="1" applyFont="1">
      <alignment horizontal="center" readingOrder="0"/>
    </xf>
    <xf borderId="9" fillId="18" fontId="13" numFmtId="164" xfId="0" applyAlignment="1" applyBorder="1" applyFill="1" applyFont="1" applyNumberFormat="1">
      <alignment horizontal="center" readingOrder="0" vertical="center"/>
    </xf>
    <xf borderId="0" fillId="0" fontId="7" numFmtId="0" xfId="0" applyFont="1"/>
    <xf borderId="6" fillId="19" fontId="13" numFmtId="0" xfId="0" applyAlignment="1" applyBorder="1" applyFill="1" applyFont="1">
      <alignment horizontal="center" readingOrder="0"/>
    </xf>
    <xf borderId="6" fillId="19" fontId="13" numFmtId="164" xfId="0" applyAlignment="1" applyBorder="1" applyFont="1" applyNumberFormat="1">
      <alignment horizontal="center" readingOrder="0" vertical="center"/>
    </xf>
    <xf borderId="9" fillId="20" fontId="16" numFmtId="0" xfId="0" applyAlignment="1" applyBorder="1" applyFill="1" applyFont="1">
      <alignment horizontal="center" readingOrder="0" vertical="center"/>
    </xf>
    <xf borderId="6" fillId="20" fontId="16" numFmtId="0" xfId="0" applyAlignment="1" applyBorder="1" applyFont="1">
      <alignment horizontal="center" readingOrder="0"/>
    </xf>
    <xf borderId="9" fillId="20" fontId="16" numFmtId="164" xfId="0" applyAlignment="1" applyBorder="1" applyFont="1" applyNumberFormat="1">
      <alignment horizontal="center" readingOrder="0" vertical="center"/>
    </xf>
    <xf borderId="9" fillId="21" fontId="16" numFmtId="0" xfId="0" applyAlignment="1" applyBorder="1" applyFill="1" applyFont="1">
      <alignment horizontal="center" readingOrder="0" vertical="center"/>
    </xf>
    <xf borderId="6" fillId="21" fontId="16" numFmtId="0" xfId="0" applyAlignment="1" applyBorder="1" applyFont="1">
      <alignment horizontal="center" readingOrder="0"/>
    </xf>
    <xf borderId="9" fillId="21" fontId="16" numFmtId="164" xfId="0" applyAlignment="1" applyBorder="1" applyFont="1" applyNumberFormat="1">
      <alignment horizontal="center" readingOrder="0" vertical="center"/>
    </xf>
    <xf borderId="6" fillId="22" fontId="16" numFmtId="0" xfId="0" applyAlignment="1" applyBorder="1" applyFill="1" applyFont="1">
      <alignment horizontal="center" readingOrder="0" vertical="center"/>
    </xf>
    <xf borderId="6" fillId="22" fontId="16" numFmtId="0" xfId="0" applyAlignment="1" applyBorder="1" applyFont="1">
      <alignment horizontal="center" readingOrder="0"/>
    </xf>
    <xf borderId="6" fillId="22" fontId="16" numFmtId="164" xfId="0" applyAlignment="1" applyBorder="1" applyFont="1" applyNumberFormat="1">
      <alignment horizontal="center" readingOrder="0" vertical="center"/>
    </xf>
    <xf borderId="6" fillId="23" fontId="16" numFmtId="0" xfId="0" applyAlignment="1" applyBorder="1" applyFill="1" applyFont="1">
      <alignment horizontal="center" readingOrder="0" vertical="center"/>
    </xf>
    <xf borderId="6" fillId="23" fontId="16" numFmtId="0" xfId="0" applyAlignment="1" applyBorder="1" applyFont="1">
      <alignment horizontal="center" readingOrder="0"/>
    </xf>
    <xf borderId="6" fillId="23" fontId="13" numFmtId="164" xfId="0" applyAlignment="1" applyBorder="1" applyFont="1" applyNumberFormat="1">
      <alignment horizontal="center" readingOrder="0" vertical="center"/>
    </xf>
    <xf borderId="9" fillId="4" fontId="18" numFmtId="0" xfId="0" applyAlignment="1" applyBorder="1" applyFont="1">
      <alignment horizontal="center" readingOrder="0" shrinkToFit="0" vertical="center" wrapText="1"/>
    </xf>
    <xf borderId="6" fillId="4" fontId="18" numFmtId="0" xfId="0" applyAlignment="1" applyBorder="1" applyFont="1">
      <alignment horizontal="center" readingOrder="0"/>
    </xf>
    <xf borderId="9" fillId="4" fontId="13" numFmtId="164" xfId="0" applyAlignment="1" applyBorder="1" applyFont="1" applyNumberFormat="1">
      <alignment horizontal="center" readingOrder="0" vertical="center"/>
    </xf>
    <xf borderId="6" fillId="4" fontId="13" numFmtId="164" xfId="0" applyAlignment="1" applyBorder="1" applyFont="1" applyNumberFormat="1">
      <alignment horizontal="center" readingOrder="0" vertical="center"/>
    </xf>
    <xf borderId="6" fillId="4" fontId="18" numFmtId="0" xfId="0" applyAlignment="1" applyBorder="1" applyFont="1">
      <alignment horizontal="center" readingOrder="0" shrinkToFit="0" vertical="center" wrapText="1"/>
    </xf>
    <xf borderId="6" fillId="24" fontId="18" numFmtId="0" xfId="0" applyAlignment="1" applyBorder="1" applyFill="1" applyFont="1">
      <alignment horizontal="center" readingOrder="0" shrinkToFit="0" vertical="center" wrapText="1"/>
    </xf>
    <xf borderId="6" fillId="24" fontId="18" numFmtId="0" xfId="0" applyAlignment="1" applyBorder="1" applyFont="1">
      <alignment horizontal="center" readingOrder="0"/>
    </xf>
    <xf borderId="9" fillId="24" fontId="18" numFmtId="0" xfId="0" applyAlignment="1" applyBorder="1" applyFont="1">
      <alignment horizontal="center" readingOrder="0" shrinkToFit="0" vertical="center" wrapText="1"/>
    </xf>
    <xf borderId="6" fillId="24" fontId="13" numFmtId="164" xfId="0" applyAlignment="1" applyBorder="1" applyFont="1" applyNumberFormat="1">
      <alignment horizontal="center" readingOrder="0" vertical="center"/>
    </xf>
    <xf borderId="9" fillId="24" fontId="13" numFmtId="164" xfId="0" applyAlignment="1" applyBorder="1" applyFont="1" applyNumberFormat="1">
      <alignment horizontal="center" readingOrder="0" vertical="center"/>
    </xf>
    <xf borderId="9" fillId="14" fontId="16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0" fontId="7" numFmtId="165" xfId="0" applyAlignment="1" applyFont="1" applyNumberFormat="1">
      <alignment horizontal="center" readingOrder="0"/>
    </xf>
    <xf borderId="0" fillId="0" fontId="7" numFmtId="165" xfId="0" applyAlignment="1" applyFont="1" applyNumberFormat="1">
      <alignment readingOrder="0"/>
    </xf>
    <xf borderId="0" fillId="13" fontId="12" numFmtId="0" xfId="0" applyAlignment="1" applyFont="1">
      <alignment horizontal="center"/>
    </xf>
    <xf borderId="0" fillId="13" fontId="12" numFmtId="0" xfId="0" applyAlignment="1" applyFont="1">
      <alignment horizontal="center" readingOrder="0"/>
    </xf>
    <xf borderId="0" fillId="7" fontId="19" numFmtId="0" xfId="0" applyAlignment="1" applyFont="1">
      <alignment horizontal="center" readingOrder="0"/>
    </xf>
    <xf borderId="0" fillId="25" fontId="19" numFmtId="0" xfId="0" applyAlignment="1" applyFill="1" applyFont="1">
      <alignment horizontal="center" readingOrder="0"/>
    </xf>
    <xf borderId="0" fillId="13" fontId="12" numFmtId="164" xfId="0" applyAlignment="1" applyFont="1" applyNumberFormat="1">
      <alignment horizontal="center"/>
    </xf>
    <xf borderId="0" fillId="26" fontId="7" numFmtId="0" xfId="0" applyAlignment="1" applyFill="1" applyFont="1">
      <alignment horizontal="center" readingOrder="0"/>
    </xf>
    <xf borderId="0" fillId="26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0" fillId="3" fontId="12" numFmtId="0" xfId="0" applyAlignment="1" applyFont="1">
      <alignment horizontal="center"/>
    </xf>
    <xf borderId="0" fillId="3" fontId="12" numFmtId="0" xfId="0" applyAlignment="1" applyFont="1">
      <alignment horizontal="center" readingOrder="0"/>
    </xf>
    <xf borderId="0" fillId="3" fontId="12" numFmtId="164" xfId="0" applyAlignment="1" applyFont="1" applyNumberFormat="1">
      <alignment horizontal="center"/>
    </xf>
    <xf borderId="0" fillId="4" fontId="6" numFmtId="164" xfId="0" applyAlignment="1" applyFont="1" applyNumberFormat="1">
      <alignment horizontal="center"/>
    </xf>
    <xf borderId="0" fillId="7" fontId="19" numFmtId="164" xfId="0" applyAlignment="1" applyFont="1" applyNumberFormat="1">
      <alignment horizontal="center"/>
    </xf>
    <xf borderId="0" fillId="3" fontId="19" numFmtId="0" xfId="0" applyAlignment="1" applyFont="1">
      <alignment horizontal="center" readingOrder="0"/>
    </xf>
    <xf borderId="0" fillId="26" fontId="7" numFmtId="166" xfId="0" applyAlignment="1" applyFont="1" applyNumberFormat="1">
      <alignment horizontal="center" readingOrder="0"/>
    </xf>
    <xf borderId="0" fillId="0" fontId="7" numFmtId="167" xfId="0" applyAlignment="1" applyFont="1" applyNumberFormat="1">
      <alignment horizontal="center" readingOrder="0"/>
    </xf>
    <xf borderId="0" fillId="26" fontId="7" numFmtId="167" xfId="0" applyAlignment="1" applyFont="1" applyNumberFormat="1">
      <alignment horizontal="center" readingOrder="0"/>
    </xf>
    <xf borderId="0" fillId="3" fontId="12" numFmtId="164" xfId="0" applyAlignment="1" applyFont="1" applyNumberFormat="1">
      <alignment horizontal="center" readingOrder="0"/>
    </xf>
    <xf borderId="0" fillId="11" fontId="6" numFmtId="0" xfId="0" applyAlignment="1" applyFont="1">
      <alignment horizontal="center" readingOrder="0"/>
    </xf>
    <xf borderId="0" fillId="11" fontId="6" numFmtId="164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Cartões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contas_2023!$X$2:$X$13</c:f>
              <c:numCache/>
            </c:numRef>
          </c:val>
        </c:ser>
        <c:axId val="1556004243"/>
        <c:axId val="226670840"/>
      </c:barChart>
      <c:catAx>
        <c:axId val="1556004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670840"/>
      </c:catAx>
      <c:valAx>
        <c:axId val="226670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Cartões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004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Contas_2024!$Y$2:$Y$13</c:f>
              <c:numCache/>
            </c:numRef>
          </c:val>
        </c:ser>
        <c:axId val="1206123166"/>
        <c:axId val="1605659726"/>
      </c:barChart>
      <c:catAx>
        <c:axId val="1206123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659726"/>
      </c:catAx>
      <c:valAx>
        <c:axId val="1605659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123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304800</xdr:colOff>
      <xdr:row>14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676275</xdr:colOff>
      <xdr:row>14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0.5"/>
    <col customWidth="1" min="7" max="7" width="17.63"/>
    <col customWidth="1" min="8" max="8" width="11.5"/>
    <col customWidth="1" min="11" max="11" width="10.63"/>
    <col customWidth="1" min="16" max="16" width="18.63"/>
  </cols>
  <sheetData>
    <row r="1">
      <c r="A1" s="1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5" t="s">
        <v>15</v>
      </c>
      <c r="M1" s="6" t="s">
        <v>16</v>
      </c>
      <c r="N1" s="8" t="s">
        <v>18</v>
      </c>
      <c r="P1" s="9" t="s">
        <v>20</v>
      </c>
      <c r="Q1" s="10" t="s">
        <v>23</v>
      </c>
      <c r="R1" s="10" t="s">
        <v>25</v>
      </c>
    </row>
    <row r="2">
      <c r="A2" s="3" t="s">
        <v>26</v>
      </c>
      <c r="B2" s="12"/>
      <c r="C2" s="12"/>
      <c r="D2" s="12"/>
      <c r="E2" s="12">
        <v>260.0</v>
      </c>
      <c r="F2" s="12">
        <v>400.0</v>
      </c>
      <c r="G2" s="12"/>
      <c r="H2" s="12">
        <v>138.0</v>
      </c>
      <c r="I2" s="12">
        <v>530.0</v>
      </c>
      <c r="J2" s="12">
        <v>150.0</v>
      </c>
      <c r="K2" s="12">
        <v>70.0</v>
      </c>
      <c r="L2" s="20">
        <f>SUM(E2,F2,H2,K2)</f>
        <v>868</v>
      </c>
      <c r="M2" s="21">
        <v>1328.0</v>
      </c>
      <c r="N2" s="23">
        <f t="shared" ref="N2:N7" si="1">SUM(M2-L2)</f>
        <v>460</v>
      </c>
      <c r="O2" s="10" t="s">
        <v>29</v>
      </c>
      <c r="P2" s="24"/>
    </row>
    <row r="3">
      <c r="A3" s="3" t="s">
        <v>30</v>
      </c>
      <c r="B3" s="12"/>
      <c r="C3" s="12">
        <v>0.0</v>
      </c>
      <c r="D3" s="12"/>
      <c r="E3" s="12">
        <v>400.0</v>
      </c>
      <c r="F3" s="12">
        <v>310.0</v>
      </c>
      <c r="G3" s="12">
        <v>0.0</v>
      </c>
      <c r="H3" s="12">
        <v>138.0</v>
      </c>
      <c r="I3" s="26">
        <v>530.0</v>
      </c>
      <c r="J3" s="12">
        <v>150.0</v>
      </c>
      <c r="K3" s="12">
        <v>70.0</v>
      </c>
      <c r="L3" s="20">
        <f t="shared" ref="L3:L4" si="2">SUM(C3,E3,F3,G3,H3,K3,O3)</f>
        <v>1168</v>
      </c>
      <c r="M3" s="21">
        <v>1328.0</v>
      </c>
      <c r="N3" s="23">
        <f t="shared" si="1"/>
        <v>160</v>
      </c>
      <c r="O3" s="27">
        <v>250.0</v>
      </c>
      <c r="P3" s="24"/>
    </row>
    <row r="4">
      <c r="A4" s="3" t="s">
        <v>31</v>
      </c>
      <c r="B4" s="12"/>
      <c r="C4" s="12">
        <v>200.0</v>
      </c>
      <c r="D4" s="12"/>
      <c r="E4" s="12">
        <v>188.0</v>
      </c>
      <c r="F4" s="12">
        <v>275.0</v>
      </c>
      <c r="G4" s="12">
        <v>108.0</v>
      </c>
      <c r="H4" s="12">
        <v>138.0</v>
      </c>
      <c r="I4" s="12">
        <v>530.0</v>
      </c>
      <c r="J4" s="12">
        <v>150.0</v>
      </c>
      <c r="K4" s="12">
        <v>70.0</v>
      </c>
      <c r="L4" s="20">
        <f t="shared" si="2"/>
        <v>1229</v>
      </c>
      <c r="M4" s="21">
        <v>1683.0</v>
      </c>
      <c r="N4" s="28">
        <f t="shared" si="1"/>
        <v>454</v>
      </c>
      <c r="O4" s="29">
        <v>250.0</v>
      </c>
      <c r="P4" s="24"/>
    </row>
    <row r="5">
      <c r="A5" s="3" t="s">
        <v>32</v>
      </c>
      <c r="B5" s="12"/>
      <c r="C5" s="12">
        <v>600.0</v>
      </c>
      <c r="D5" s="12">
        <v>0.0</v>
      </c>
      <c r="E5" s="12">
        <v>170.0</v>
      </c>
      <c r="F5" s="12">
        <v>200.0</v>
      </c>
      <c r="G5" s="12">
        <v>108.0</v>
      </c>
      <c r="H5" s="12">
        <v>138.0</v>
      </c>
      <c r="I5" s="12">
        <v>530.0</v>
      </c>
      <c r="J5" s="12">
        <v>150.0</v>
      </c>
      <c r="K5" s="12">
        <v>70.0</v>
      </c>
      <c r="L5" s="20">
        <f>SUM(C5,D5,E5,F5,G5,H5,K5,O5,)</f>
        <v>2036</v>
      </c>
      <c r="M5" s="21">
        <v>1389.0</v>
      </c>
      <c r="N5" s="28">
        <f t="shared" si="1"/>
        <v>-647</v>
      </c>
      <c r="O5" s="29">
        <v>750.0</v>
      </c>
      <c r="P5" s="24"/>
    </row>
    <row r="6">
      <c r="A6" s="3" t="s">
        <v>33</v>
      </c>
      <c r="B6" s="12">
        <v>572.0</v>
      </c>
      <c r="C6" s="12">
        <v>0.0</v>
      </c>
      <c r="D6" s="12">
        <v>100.0</v>
      </c>
      <c r="E6" s="12">
        <v>245.0</v>
      </c>
      <c r="F6" s="12">
        <v>200.0</v>
      </c>
      <c r="G6" s="12">
        <v>108.0</v>
      </c>
      <c r="H6" s="12">
        <v>138.0</v>
      </c>
      <c r="I6" s="12">
        <v>530.0</v>
      </c>
      <c r="J6" s="12">
        <v>150.0</v>
      </c>
      <c r="K6" s="12">
        <v>0.0</v>
      </c>
      <c r="L6" s="20">
        <f>SUM(B6,C6,D6,E6,F6,G6,H6,K6)</f>
        <v>1363</v>
      </c>
      <c r="M6" s="21">
        <v>1389.0</v>
      </c>
      <c r="N6" s="28">
        <f t="shared" si="1"/>
        <v>26</v>
      </c>
      <c r="O6" s="31"/>
      <c r="P6" s="32"/>
    </row>
    <row r="7">
      <c r="A7" s="3" t="s">
        <v>34</v>
      </c>
      <c r="B7" s="12">
        <v>571.0</v>
      </c>
      <c r="C7" s="12">
        <v>50.0</v>
      </c>
      <c r="D7" s="12">
        <v>100.0</v>
      </c>
      <c r="E7" s="12">
        <v>220.0</v>
      </c>
      <c r="F7" s="12">
        <v>131.0</v>
      </c>
      <c r="G7" s="12">
        <v>108.0</v>
      </c>
      <c r="H7" s="12">
        <v>138.0</v>
      </c>
      <c r="I7" s="12">
        <v>530.0</v>
      </c>
      <c r="J7" s="12">
        <v>150.0</v>
      </c>
      <c r="K7" s="12">
        <v>70.0</v>
      </c>
      <c r="L7" s="20">
        <f>SUM(B7,C7,D7,F7,E7,G7,H7,K7)</f>
        <v>1388</v>
      </c>
      <c r="M7" s="21">
        <v>1389.0</v>
      </c>
      <c r="N7" s="28">
        <f t="shared" si="1"/>
        <v>1</v>
      </c>
      <c r="P7" s="33"/>
    </row>
    <row r="8">
      <c r="A8" s="3" t="s">
        <v>35</v>
      </c>
      <c r="B8" s="12">
        <v>579.0</v>
      </c>
      <c r="C8" s="12">
        <v>0.0</v>
      </c>
      <c r="D8" s="12">
        <v>100.0</v>
      </c>
      <c r="E8" s="12">
        <v>310.0</v>
      </c>
      <c r="F8" s="12">
        <v>0.0</v>
      </c>
      <c r="G8" s="12">
        <v>108.0</v>
      </c>
      <c r="H8" s="12">
        <v>138.0</v>
      </c>
      <c r="I8" s="12">
        <v>530.0</v>
      </c>
      <c r="J8" s="12">
        <v>150.0</v>
      </c>
      <c r="K8" s="12">
        <v>15.0</v>
      </c>
      <c r="L8" s="20">
        <f>SUM(B8,C8,D8,E8,F8,G8,H8,K8)</f>
        <v>1250</v>
      </c>
      <c r="M8" s="21">
        <v>1390.0</v>
      </c>
      <c r="N8" s="28">
        <f>SUM(M8-L8-O8+P8)</f>
        <v>-165</v>
      </c>
      <c r="O8" s="29">
        <v>550.0</v>
      </c>
      <c r="P8" s="34">
        <v>245.0</v>
      </c>
    </row>
    <row r="9">
      <c r="A9" s="3" t="s">
        <v>36</v>
      </c>
      <c r="B9" s="12">
        <v>606.0</v>
      </c>
      <c r="C9" s="12">
        <v>1800.0</v>
      </c>
      <c r="D9" s="12">
        <v>80.0</v>
      </c>
      <c r="E9" s="12">
        <v>440.0</v>
      </c>
      <c r="F9" s="12">
        <v>0.0</v>
      </c>
      <c r="G9" s="12">
        <v>108.0</v>
      </c>
      <c r="H9" s="12">
        <v>138.0</v>
      </c>
      <c r="I9" s="12">
        <v>530.0</v>
      </c>
      <c r="J9" s="12">
        <v>150.0</v>
      </c>
      <c r="K9" s="12">
        <v>25.0</v>
      </c>
      <c r="L9" s="20">
        <f>SUM(B9,G9,D9,E9,C9,H9,K9)</f>
        <v>3197</v>
      </c>
      <c r="M9" s="21">
        <v>3767.0</v>
      </c>
      <c r="N9" s="28">
        <f>SUM(M9-L9-O9-Q9-P9)</f>
        <v>170</v>
      </c>
      <c r="O9" s="29">
        <v>270.0</v>
      </c>
      <c r="P9" s="29">
        <v>70.0</v>
      </c>
      <c r="Q9" s="35">
        <v>60.0</v>
      </c>
    </row>
    <row r="10">
      <c r="A10" s="3" t="s">
        <v>37</v>
      </c>
      <c r="B10" s="12">
        <v>620.0</v>
      </c>
      <c r="C10" s="12">
        <v>800.0</v>
      </c>
      <c r="D10" s="12">
        <v>100.0</v>
      </c>
      <c r="E10" s="12">
        <v>450.0</v>
      </c>
      <c r="F10" s="12">
        <v>560.0</v>
      </c>
      <c r="G10" s="12">
        <v>585.0</v>
      </c>
      <c r="H10" s="12">
        <v>138.0</v>
      </c>
      <c r="I10" s="12">
        <v>530.0</v>
      </c>
      <c r="J10" s="12">
        <v>150.0</v>
      </c>
      <c r="K10" s="12">
        <v>20.0</v>
      </c>
      <c r="L10" s="20">
        <f>SUM(B10,C10,D10,E10,F10,H10,K10,G10,)</f>
        <v>3273</v>
      </c>
      <c r="M10" s="21">
        <v>2674.0</v>
      </c>
      <c r="N10" s="28">
        <f>SUM(M10+P10+Q10+R10-L10)</f>
        <v>381</v>
      </c>
      <c r="P10" s="29">
        <v>150.0</v>
      </c>
      <c r="Q10" s="29">
        <v>350.0</v>
      </c>
      <c r="R10" s="29">
        <v>480.0</v>
      </c>
    </row>
    <row r="11">
      <c r="A11" s="3" t="s">
        <v>38</v>
      </c>
      <c r="B11" s="12">
        <v>630.0</v>
      </c>
      <c r="C11" s="12">
        <v>588.0</v>
      </c>
      <c r="D11" s="12">
        <v>100.0</v>
      </c>
      <c r="E11" s="12">
        <v>120.0</v>
      </c>
      <c r="F11" s="12">
        <v>1210.0</v>
      </c>
      <c r="G11" s="12">
        <v>605.0</v>
      </c>
      <c r="H11" s="12">
        <v>138.0</v>
      </c>
      <c r="I11" s="12">
        <v>530.0</v>
      </c>
      <c r="J11" s="12">
        <v>150.0</v>
      </c>
      <c r="K11" s="12">
        <v>25.0</v>
      </c>
      <c r="L11" s="20">
        <f>SUM(B11,C11,D11,F11,H11,K11,G11,E11)</f>
        <v>3416</v>
      </c>
      <c r="M11" s="21">
        <v>2674.0</v>
      </c>
      <c r="N11" s="28">
        <f>SUM(M11-L11+Q12+R11+P11)</f>
        <v>408</v>
      </c>
      <c r="P11" s="29">
        <v>200.0</v>
      </c>
      <c r="Q11" s="37"/>
      <c r="R11" s="29">
        <v>600.0</v>
      </c>
    </row>
    <row r="12">
      <c r="A12" s="3" t="s">
        <v>39</v>
      </c>
      <c r="B12" s="12">
        <v>675.0</v>
      </c>
      <c r="C12" s="12">
        <v>718.0</v>
      </c>
      <c r="D12" s="12">
        <v>100.0</v>
      </c>
      <c r="E12" s="12">
        <v>0.0</v>
      </c>
      <c r="F12" s="12">
        <v>470.0</v>
      </c>
      <c r="G12" s="12">
        <v>585.0</v>
      </c>
      <c r="H12" s="12">
        <v>138.0</v>
      </c>
      <c r="I12" s="12">
        <v>530.0</v>
      </c>
      <c r="J12" s="12">
        <v>150.0</v>
      </c>
      <c r="K12" s="12">
        <v>25.0</v>
      </c>
      <c r="L12" s="20">
        <f t="shared" ref="L12:L13" si="3">SUM(B12,C12,D12,H12,K12,G12,E12,F12)</f>
        <v>2711</v>
      </c>
      <c r="M12" s="21">
        <v>1389.0</v>
      </c>
      <c r="N12" s="28">
        <f>SUM(M12-L12+R12+Q12+P12)</f>
        <v>-2</v>
      </c>
      <c r="P12" s="29">
        <v>850.0</v>
      </c>
      <c r="Q12" s="29">
        <v>350.0</v>
      </c>
      <c r="R12" s="29">
        <v>120.0</v>
      </c>
    </row>
    <row r="13">
      <c r="A13" s="3" t="s">
        <v>40</v>
      </c>
      <c r="B13" s="12">
        <v>680.0</v>
      </c>
      <c r="C13" s="12">
        <v>0.0</v>
      </c>
      <c r="D13" s="12">
        <v>100.0</v>
      </c>
      <c r="E13" s="12">
        <v>290.0</v>
      </c>
      <c r="F13" s="12">
        <v>610.0</v>
      </c>
      <c r="G13" s="12">
        <v>585.0</v>
      </c>
      <c r="H13" s="12">
        <v>561.0</v>
      </c>
      <c r="I13" s="12">
        <v>530.0</v>
      </c>
      <c r="J13" s="12">
        <v>150.0</v>
      </c>
      <c r="K13" s="12">
        <v>25.0</v>
      </c>
      <c r="L13" s="20">
        <f t="shared" si="3"/>
        <v>2851</v>
      </c>
      <c r="M13" s="21">
        <v>2219.0</v>
      </c>
      <c r="N13" s="28">
        <f>SUM(M13-L13+P13)</f>
        <v>-482</v>
      </c>
      <c r="P13" s="29">
        <v>150.0</v>
      </c>
    </row>
    <row r="14">
      <c r="B14" s="3"/>
    </row>
    <row r="15">
      <c r="B15" s="3"/>
      <c r="G15" s="31"/>
    </row>
    <row r="16">
      <c r="B16" s="3"/>
    </row>
    <row r="17">
      <c r="B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9" width="13.5"/>
  </cols>
  <sheetData>
    <row r="1">
      <c r="A1" s="2" t="s">
        <v>0</v>
      </c>
      <c r="B1" s="4" t="s">
        <v>2</v>
      </c>
      <c r="C1" s="4" t="s">
        <v>1</v>
      </c>
      <c r="D1" s="4" t="s">
        <v>6</v>
      </c>
      <c r="E1" s="4" t="s">
        <v>4</v>
      </c>
      <c r="F1" s="4" t="s">
        <v>5</v>
      </c>
      <c r="G1" s="4" t="s">
        <v>7</v>
      </c>
      <c r="H1" s="4" t="s">
        <v>13</v>
      </c>
      <c r="I1" s="4" t="s">
        <v>14</v>
      </c>
      <c r="J1" s="4" t="s">
        <v>9</v>
      </c>
      <c r="K1" s="4" t="s">
        <v>12</v>
      </c>
      <c r="L1" s="4" t="s">
        <v>10</v>
      </c>
      <c r="M1" s="4" t="s">
        <v>11</v>
      </c>
      <c r="N1" s="7" t="s">
        <v>17</v>
      </c>
      <c r="O1" s="7" t="s">
        <v>19</v>
      </c>
      <c r="P1" s="7" t="s">
        <v>21</v>
      </c>
      <c r="Q1" s="7" t="s">
        <v>22</v>
      </c>
      <c r="R1" s="11" t="s">
        <v>24</v>
      </c>
      <c r="S1" s="13" t="s">
        <v>27</v>
      </c>
      <c r="T1" s="14" t="s">
        <v>28</v>
      </c>
      <c r="U1" s="15"/>
      <c r="V1" s="15"/>
    </row>
    <row r="2">
      <c r="A2" s="4" t="s">
        <v>26</v>
      </c>
      <c r="B2" s="16">
        <v>0.0</v>
      </c>
      <c r="C2" s="16">
        <v>683.0</v>
      </c>
      <c r="D2" s="16">
        <v>0.0</v>
      </c>
      <c r="E2" s="16">
        <v>150.0</v>
      </c>
      <c r="F2" s="16">
        <v>164.0</v>
      </c>
      <c r="G2" s="16">
        <v>432.0</v>
      </c>
      <c r="H2" s="16"/>
      <c r="I2" s="16"/>
      <c r="J2" s="16">
        <v>157.0</v>
      </c>
      <c r="K2" s="16">
        <v>25.0</v>
      </c>
      <c r="L2" s="17">
        <v>530.0</v>
      </c>
      <c r="M2" s="17">
        <v>150.0</v>
      </c>
      <c r="N2" s="16">
        <v>1880.0</v>
      </c>
      <c r="O2" s="18"/>
      <c r="P2" s="18"/>
      <c r="Q2" s="18"/>
      <c r="R2" s="19"/>
      <c r="S2" s="22">
        <f>SUM(C2,D2,E2,F2,G2,J2,K2)</f>
        <v>1611</v>
      </c>
      <c r="T2" s="25">
        <f>SUM(N2-S2)</f>
        <v>269</v>
      </c>
    </row>
    <row r="3">
      <c r="A3" s="4" t="s">
        <v>30</v>
      </c>
      <c r="B3" s="16">
        <v>160.0</v>
      </c>
      <c r="C3" s="16">
        <v>1070.0</v>
      </c>
      <c r="D3" s="17">
        <v>0.0</v>
      </c>
      <c r="E3" s="16">
        <v>150.0</v>
      </c>
      <c r="F3" s="16">
        <v>255.0</v>
      </c>
      <c r="G3" s="16">
        <v>844.0</v>
      </c>
      <c r="H3" s="16"/>
      <c r="I3" s="16">
        <v>0.0</v>
      </c>
      <c r="J3" s="16">
        <v>157.0</v>
      </c>
      <c r="K3" s="16">
        <v>70.0</v>
      </c>
      <c r="L3" s="17">
        <v>530.0</v>
      </c>
      <c r="M3" s="17">
        <v>150.0</v>
      </c>
      <c r="N3" s="16">
        <v>1880.0</v>
      </c>
      <c r="O3" s="16">
        <v>0.0</v>
      </c>
      <c r="P3" s="16">
        <v>150.0</v>
      </c>
      <c r="Q3" s="16"/>
      <c r="R3" s="19"/>
      <c r="S3" s="22">
        <f>SUM(B3,C3,D3,E3,F3,G3,J3,K3)</f>
        <v>2706</v>
      </c>
      <c r="T3" s="25">
        <f t="shared" ref="T3:T7" si="1">SUM(N3+P3+O3-S3)</f>
        <v>-676</v>
      </c>
    </row>
    <row r="4">
      <c r="A4" s="4" t="s">
        <v>31</v>
      </c>
      <c r="B4" s="16">
        <v>160.0</v>
      </c>
      <c r="C4" s="16">
        <v>686.0</v>
      </c>
      <c r="D4" s="16">
        <v>0.0</v>
      </c>
      <c r="E4" s="16">
        <v>100.0</v>
      </c>
      <c r="F4" s="16">
        <v>581.0</v>
      </c>
      <c r="G4" s="16">
        <v>1420.0</v>
      </c>
      <c r="H4" s="16"/>
      <c r="I4" s="16">
        <v>266.0</v>
      </c>
      <c r="J4" s="16">
        <v>157.0</v>
      </c>
      <c r="K4" s="16">
        <v>74.0</v>
      </c>
      <c r="L4" s="17">
        <v>530.0</v>
      </c>
      <c r="M4" s="17">
        <v>150.0</v>
      </c>
      <c r="N4" s="16">
        <v>1880.0</v>
      </c>
      <c r="O4" s="16">
        <v>1000.0</v>
      </c>
      <c r="P4" s="16">
        <v>600.0</v>
      </c>
      <c r="Q4" s="16"/>
      <c r="R4" s="19"/>
      <c r="S4" s="22">
        <f>SUM(B4,C4,D4,E4,F4,G4,I4,J4,K4)</f>
        <v>3444</v>
      </c>
      <c r="T4" s="30">
        <f t="shared" si="1"/>
        <v>36</v>
      </c>
    </row>
    <row r="5">
      <c r="A5" s="4" t="s">
        <v>32</v>
      </c>
      <c r="B5" s="16">
        <v>160.0</v>
      </c>
      <c r="C5" s="16">
        <v>692.0</v>
      </c>
      <c r="D5" s="16">
        <v>500.0</v>
      </c>
      <c r="E5" s="16">
        <v>50.0</v>
      </c>
      <c r="F5" s="16">
        <v>605.0</v>
      </c>
      <c r="G5" s="16">
        <v>1778.0</v>
      </c>
      <c r="H5" s="16"/>
      <c r="I5" s="16"/>
      <c r="J5" s="16">
        <v>157.0</v>
      </c>
      <c r="K5" s="16">
        <v>80.0</v>
      </c>
      <c r="L5" s="17">
        <v>530.0</v>
      </c>
      <c r="M5" s="17">
        <v>150.0</v>
      </c>
      <c r="N5" s="16">
        <v>1880.0</v>
      </c>
      <c r="O5" s="16">
        <v>1576.0</v>
      </c>
      <c r="P5" s="16">
        <v>300.0</v>
      </c>
      <c r="Q5" s="16"/>
      <c r="R5" s="19"/>
      <c r="S5" s="22">
        <f t="shared" ref="S5:S6" si="2">SUM(B5,C5,D5,E5,F5,G5,J5,K5)</f>
        <v>4022</v>
      </c>
      <c r="T5" s="30">
        <f t="shared" si="1"/>
        <v>-266</v>
      </c>
    </row>
    <row r="6">
      <c r="A6" s="4" t="s">
        <v>33</v>
      </c>
      <c r="B6" s="16">
        <v>160.0</v>
      </c>
      <c r="C6" s="16">
        <v>697.0</v>
      </c>
      <c r="D6" s="16">
        <v>0.0</v>
      </c>
      <c r="E6" s="16">
        <v>233.0</v>
      </c>
      <c r="F6" s="16">
        <v>440.0</v>
      </c>
      <c r="G6" s="16">
        <v>1800.0</v>
      </c>
      <c r="H6" s="16"/>
      <c r="I6" s="16"/>
      <c r="J6" s="16">
        <v>157.0</v>
      </c>
      <c r="K6" s="16">
        <v>80.0</v>
      </c>
      <c r="L6" s="17">
        <v>530.0</v>
      </c>
      <c r="M6" s="17">
        <v>150.0</v>
      </c>
      <c r="N6" s="16">
        <v>2072.0</v>
      </c>
      <c r="O6" s="16">
        <v>1914.0</v>
      </c>
      <c r="P6" s="16">
        <v>375.0</v>
      </c>
      <c r="Q6" s="16"/>
      <c r="R6" s="19"/>
      <c r="S6" s="22">
        <f t="shared" si="2"/>
        <v>3567</v>
      </c>
      <c r="T6" s="30">
        <f t="shared" si="1"/>
        <v>794</v>
      </c>
    </row>
    <row r="7">
      <c r="A7" s="4" t="s">
        <v>34</v>
      </c>
      <c r="B7" s="16">
        <v>160.0</v>
      </c>
      <c r="C7" s="16">
        <v>720.0</v>
      </c>
      <c r="D7" s="16">
        <v>600.0</v>
      </c>
      <c r="E7" s="16">
        <v>230.0</v>
      </c>
      <c r="F7" s="16">
        <v>41.0</v>
      </c>
      <c r="G7" s="16">
        <v>1448.0</v>
      </c>
      <c r="H7" s="16"/>
      <c r="I7" s="16">
        <v>487.0</v>
      </c>
      <c r="J7" s="16">
        <v>157.0</v>
      </c>
      <c r="K7" s="16">
        <v>80.0</v>
      </c>
      <c r="L7" s="17">
        <v>530.0</v>
      </c>
      <c r="M7" s="17">
        <v>150.0</v>
      </c>
      <c r="N7" s="16">
        <v>2072.0</v>
      </c>
      <c r="O7" s="16">
        <v>1576.0</v>
      </c>
      <c r="P7" s="16">
        <v>1250.0</v>
      </c>
      <c r="Q7" s="16"/>
      <c r="R7" s="19"/>
      <c r="S7" s="22">
        <f>SUM(B7,C7,D7,E7,G7,F7,I7,J7,K7)</f>
        <v>3923</v>
      </c>
      <c r="T7" s="30">
        <f t="shared" si="1"/>
        <v>975</v>
      </c>
    </row>
    <row r="8">
      <c r="A8" s="4" t="s">
        <v>35</v>
      </c>
      <c r="B8" s="16">
        <v>160.0</v>
      </c>
      <c r="C8" s="16">
        <v>720.0</v>
      </c>
      <c r="D8" s="16">
        <v>0.0</v>
      </c>
      <c r="E8" s="16">
        <v>180.0</v>
      </c>
      <c r="F8" s="16">
        <v>850.0</v>
      </c>
      <c r="G8" s="16">
        <v>1070.0</v>
      </c>
      <c r="H8" s="16"/>
      <c r="I8" s="16">
        <v>87.0</v>
      </c>
      <c r="J8" s="16">
        <v>157.0</v>
      </c>
      <c r="K8" s="16">
        <v>80.0</v>
      </c>
      <c r="L8" s="17">
        <v>530.0</v>
      </c>
      <c r="M8" s="17">
        <v>150.0</v>
      </c>
      <c r="N8" s="16">
        <v>2072.0</v>
      </c>
      <c r="O8" s="16">
        <v>337.0</v>
      </c>
      <c r="P8" s="16">
        <v>140.0</v>
      </c>
      <c r="Q8" s="16"/>
      <c r="R8" s="19"/>
      <c r="S8" s="22">
        <f>SUM(B8,C8,D8,E8,F8,G8,I8,J8,K8)</f>
        <v>3304</v>
      </c>
      <c r="T8" s="30">
        <f>SUM(N8-S8+P8+O8)</f>
        <v>-755</v>
      </c>
    </row>
    <row r="9">
      <c r="A9" s="4" t="s">
        <v>36</v>
      </c>
      <c r="B9" s="16">
        <v>160.0</v>
      </c>
      <c r="C9" s="16">
        <v>720.0</v>
      </c>
      <c r="D9" s="16">
        <v>0.0</v>
      </c>
      <c r="E9" s="16">
        <v>180.0</v>
      </c>
      <c r="F9" s="16">
        <v>1200.0</v>
      </c>
      <c r="G9" s="16">
        <v>1355.0</v>
      </c>
      <c r="H9" s="16">
        <v>0.0</v>
      </c>
      <c r="I9" s="16">
        <v>87.0</v>
      </c>
      <c r="J9" s="16">
        <v>157.0</v>
      </c>
      <c r="K9" s="16">
        <v>80.0</v>
      </c>
      <c r="L9" s="17">
        <v>530.0</v>
      </c>
      <c r="M9" s="16">
        <v>188.0</v>
      </c>
      <c r="N9" s="16">
        <v>2072.0</v>
      </c>
      <c r="O9" s="16">
        <v>1013.0</v>
      </c>
      <c r="P9" s="16">
        <v>575.0</v>
      </c>
      <c r="Q9" s="16">
        <v>714.0</v>
      </c>
      <c r="R9" s="36">
        <f t="shared" ref="R9:R18" si="3">SUM(N9:Q9)</f>
        <v>4374</v>
      </c>
      <c r="S9" s="22">
        <f t="shared" ref="S9:S13" si="4">SUM(B9:K9)</f>
        <v>3939</v>
      </c>
      <c r="T9" s="30">
        <f t="shared" ref="T9:T13" si="5">SUM(R9-S9)</f>
        <v>435</v>
      </c>
    </row>
    <row r="10">
      <c r="A10" s="4" t="s">
        <v>37</v>
      </c>
      <c r="B10" s="16">
        <v>160.0</v>
      </c>
      <c r="C10" s="16">
        <v>720.0</v>
      </c>
      <c r="D10" s="16">
        <v>0.0</v>
      </c>
      <c r="E10" s="16">
        <v>152.0</v>
      </c>
      <c r="F10" s="16">
        <v>216.0</v>
      </c>
      <c r="G10" s="16">
        <v>890.0</v>
      </c>
      <c r="H10" s="16">
        <v>900.0</v>
      </c>
      <c r="I10" s="16">
        <v>87.0</v>
      </c>
      <c r="J10" s="16">
        <v>157.0</v>
      </c>
      <c r="K10" s="16">
        <v>80.0</v>
      </c>
      <c r="L10" s="17">
        <v>530.0</v>
      </c>
      <c r="M10" s="16">
        <v>188.0</v>
      </c>
      <c r="N10" s="16">
        <v>2072.0</v>
      </c>
      <c r="O10" s="16">
        <v>1942.0</v>
      </c>
      <c r="P10" s="16">
        <v>300.0</v>
      </c>
      <c r="Q10" s="16"/>
      <c r="R10" s="36">
        <f t="shared" si="3"/>
        <v>4314</v>
      </c>
      <c r="S10" s="22">
        <f t="shared" si="4"/>
        <v>3362</v>
      </c>
      <c r="T10" s="30">
        <f t="shared" si="5"/>
        <v>952</v>
      </c>
      <c r="U10" s="15"/>
      <c r="V10" s="15"/>
    </row>
    <row r="11">
      <c r="A11" s="4" t="s">
        <v>38</v>
      </c>
      <c r="B11" s="16">
        <v>160.0</v>
      </c>
      <c r="C11" s="16">
        <v>720.0</v>
      </c>
      <c r="D11" s="16">
        <v>0.0</v>
      </c>
      <c r="E11" s="16">
        <v>185.0</v>
      </c>
      <c r="F11" s="16">
        <v>744.0</v>
      </c>
      <c r="G11" s="16">
        <v>1381.0</v>
      </c>
      <c r="H11" s="16">
        <v>856.0</v>
      </c>
      <c r="I11" s="16">
        <v>87.0</v>
      </c>
      <c r="J11" s="16">
        <v>157.0</v>
      </c>
      <c r="K11" s="16">
        <v>80.0</v>
      </c>
      <c r="L11" s="17">
        <v>530.0</v>
      </c>
      <c r="M11" s="16">
        <v>188.0</v>
      </c>
      <c r="N11" s="16">
        <v>2072.0</v>
      </c>
      <c r="O11" s="16">
        <v>1518.0</v>
      </c>
      <c r="P11" s="16">
        <v>1095.0</v>
      </c>
      <c r="Q11" s="18"/>
      <c r="R11" s="36">
        <f t="shared" si="3"/>
        <v>4685</v>
      </c>
      <c r="S11" s="22">
        <f t="shared" si="4"/>
        <v>4370</v>
      </c>
      <c r="T11" s="30">
        <f t="shared" si="5"/>
        <v>315</v>
      </c>
      <c r="V11" s="15"/>
    </row>
    <row r="12">
      <c r="A12" s="4" t="s">
        <v>39</v>
      </c>
      <c r="B12" s="16">
        <v>160.0</v>
      </c>
      <c r="C12" s="16">
        <v>720.0</v>
      </c>
      <c r="D12" s="16">
        <v>0.0</v>
      </c>
      <c r="E12" s="16">
        <v>255.0</v>
      </c>
      <c r="F12" s="16">
        <v>110.0</v>
      </c>
      <c r="G12" s="16">
        <v>1256.0</v>
      </c>
      <c r="H12" s="16">
        <v>654.0</v>
      </c>
      <c r="I12" s="16">
        <v>87.0</v>
      </c>
      <c r="J12" s="16">
        <v>157.0</v>
      </c>
      <c r="K12" s="16">
        <v>80.0</v>
      </c>
      <c r="L12" s="17">
        <v>530.0</v>
      </c>
      <c r="M12" s="16">
        <v>188.0</v>
      </c>
      <c r="N12" s="16">
        <v>2072.0</v>
      </c>
      <c r="O12" s="16">
        <v>657.0</v>
      </c>
      <c r="P12" s="16">
        <v>495.0</v>
      </c>
      <c r="Q12" s="18"/>
      <c r="R12" s="36">
        <f t="shared" si="3"/>
        <v>3224</v>
      </c>
      <c r="S12" s="22">
        <f t="shared" si="4"/>
        <v>3479</v>
      </c>
      <c r="T12" s="30">
        <f t="shared" si="5"/>
        <v>-255</v>
      </c>
      <c r="U12" s="15"/>
      <c r="V12" s="15"/>
    </row>
    <row r="13">
      <c r="A13" s="4" t="s">
        <v>40</v>
      </c>
      <c r="B13" s="16">
        <v>160.0</v>
      </c>
      <c r="C13" s="16">
        <v>720.0</v>
      </c>
      <c r="D13" s="16">
        <v>0.0</v>
      </c>
      <c r="E13" s="16">
        <v>265.0</v>
      </c>
      <c r="F13" s="16">
        <v>51.0</v>
      </c>
      <c r="G13" s="16">
        <v>1249.0</v>
      </c>
      <c r="H13" s="16">
        <v>900.0</v>
      </c>
      <c r="I13" s="16">
        <v>0.0</v>
      </c>
      <c r="J13" s="16">
        <v>644.0</v>
      </c>
      <c r="K13" s="16">
        <v>80.0</v>
      </c>
      <c r="L13" s="17">
        <v>530.0</v>
      </c>
      <c r="M13" s="16">
        <v>188.0</v>
      </c>
      <c r="N13" s="16">
        <v>2072.0</v>
      </c>
      <c r="O13" s="18"/>
      <c r="P13" s="16">
        <v>1025.0</v>
      </c>
      <c r="Q13" s="18"/>
      <c r="R13" s="36">
        <f t="shared" si="3"/>
        <v>3097</v>
      </c>
      <c r="S13" s="22">
        <f t="shared" si="4"/>
        <v>4069</v>
      </c>
      <c r="T13" s="30">
        <f t="shared" si="5"/>
        <v>-972</v>
      </c>
    </row>
    <row r="14">
      <c r="H14" s="10"/>
      <c r="R14" s="38">
        <f t="shared" si="3"/>
        <v>0</v>
      </c>
    </row>
    <row r="15">
      <c r="A15" s="31"/>
      <c r="B15" s="31"/>
      <c r="H15" s="10"/>
      <c r="R15" s="38">
        <f t="shared" si="3"/>
        <v>0</v>
      </c>
    </row>
    <row r="16">
      <c r="A16" s="31"/>
      <c r="B16" s="31"/>
      <c r="E16" s="31"/>
      <c r="F16" s="31"/>
      <c r="H16" s="10"/>
      <c r="R16" s="38">
        <f t="shared" si="3"/>
        <v>0</v>
      </c>
    </row>
    <row r="17">
      <c r="A17" s="31"/>
      <c r="B17" s="31"/>
      <c r="H17" s="10"/>
      <c r="R17" s="38">
        <f t="shared" si="3"/>
        <v>0</v>
      </c>
    </row>
    <row r="18">
      <c r="A18" s="31"/>
      <c r="B18" s="31"/>
      <c r="H18" s="10"/>
      <c r="R18" s="38">
        <f t="shared" si="3"/>
        <v>0</v>
      </c>
    </row>
    <row r="19">
      <c r="A19" s="31"/>
      <c r="B19" s="31"/>
      <c r="C19" s="31"/>
    </row>
    <row r="22">
      <c r="S22" s="31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4" t="s">
        <v>2</v>
      </c>
      <c r="C1" s="4" t="s">
        <v>1</v>
      </c>
      <c r="D1" s="4" t="s">
        <v>6</v>
      </c>
      <c r="E1" s="4" t="s">
        <v>4</v>
      </c>
      <c r="F1" s="4" t="s">
        <v>5</v>
      </c>
      <c r="G1" s="4" t="s">
        <v>41</v>
      </c>
      <c r="H1" s="4" t="s">
        <v>42</v>
      </c>
      <c r="I1" s="4" t="s">
        <v>7</v>
      </c>
      <c r="J1" s="4" t="s">
        <v>13</v>
      </c>
      <c r="K1" s="4" t="s">
        <v>9</v>
      </c>
      <c r="L1" s="4" t="s">
        <v>43</v>
      </c>
      <c r="M1" s="4" t="s">
        <v>44</v>
      </c>
      <c r="N1" s="4" t="s">
        <v>12</v>
      </c>
      <c r="O1" s="4" t="s">
        <v>10</v>
      </c>
      <c r="P1" s="4" t="s">
        <v>11</v>
      </c>
      <c r="Q1" s="7" t="s">
        <v>17</v>
      </c>
      <c r="R1" s="7" t="s">
        <v>21</v>
      </c>
      <c r="S1" s="7" t="s">
        <v>22</v>
      </c>
      <c r="T1" s="11" t="s">
        <v>24</v>
      </c>
      <c r="U1" s="13" t="s">
        <v>27</v>
      </c>
      <c r="V1" s="14" t="s">
        <v>28</v>
      </c>
      <c r="X1" s="10" t="s">
        <v>46</v>
      </c>
    </row>
    <row r="2" ht="19.5" customHeight="1">
      <c r="A2" s="4" t="s">
        <v>26</v>
      </c>
      <c r="B2" s="16">
        <v>160.0</v>
      </c>
      <c r="C2" s="16">
        <v>720.0</v>
      </c>
      <c r="D2" s="16">
        <v>0.0</v>
      </c>
      <c r="E2" s="16">
        <v>220.0</v>
      </c>
      <c r="F2" s="16">
        <v>300.0</v>
      </c>
      <c r="G2" s="16">
        <v>0.0</v>
      </c>
      <c r="H2" s="16">
        <v>0.0</v>
      </c>
      <c r="I2" s="39">
        <v>544.0</v>
      </c>
      <c r="J2" s="16">
        <v>1200.0</v>
      </c>
      <c r="K2" s="16">
        <v>177.0</v>
      </c>
      <c r="L2" s="16">
        <v>0.0</v>
      </c>
      <c r="M2" s="16">
        <v>0.0</v>
      </c>
      <c r="N2" s="16">
        <v>80.0</v>
      </c>
      <c r="O2" s="17">
        <v>530.0</v>
      </c>
      <c r="P2" s="16">
        <v>188.0</v>
      </c>
      <c r="Q2" s="16">
        <v>3496.0</v>
      </c>
      <c r="R2" s="16">
        <v>0.0</v>
      </c>
      <c r="S2" s="16">
        <v>0.0</v>
      </c>
      <c r="T2" s="36">
        <f t="shared" ref="T2:T13" si="1">SUM(Q2:S2)</f>
        <v>3496</v>
      </c>
      <c r="U2" s="22">
        <f t="shared" ref="U2:U13" si="2">SUM(B2:N2)</f>
        <v>3401</v>
      </c>
      <c r="V2" s="25">
        <f t="shared" ref="V2:V13" si="3">SUM(T2-U2)</f>
        <v>95</v>
      </c>
      <c r="X2" s="42">
        <f t="shared" ref="X2:X13" si="4">F2+I2+J2</f>
        <v>2044</v>
      </c>
    </row>
    <row r="3">
      <c r="A3" s="4" t="s">
        <v>30</v>
      </c>
      <c r="B3" s="16">
        <v>160.0</v>
      </c>
      <c r="C3" s="16">
        <v>720.0</v>
      </c>
      <c r="D3" s="16">
        <v>0.0</v>
      </c>
      <c r="E3" s="16">
        <v>235.0</v>
      </c>
      <c r="F3" s="16">
        <v>700.0</v>
      </c>
      <c r="G3" s="16">
        <v>0.0</v>
      </c>
      <c r="H3" s="16">
        <v>350.0</v>
      </c>
      <c r="I3" s="39">
        <v>500.0</v>
      </c>
      <c r="J3" s="16">
        <v>1195.0</v>
      </c>
      <c r="K3" s="16">
        <v>177.0</v>
      </c>
      <c r="L3" s="16">
        <v>100.0</v>
      </c>
      <c r="M3" s="16">
        <v>0.0</v>
      </c>
      <c r="N3" s="16">
        <v>80.0</v>
      </c>
      <c r="O3" s="17">
        <v>530.0</v>
      </c>
      <c r="P3" s="16">
        <v>188.0</v>
      </c>
      <c r="Q3" s="16">
        <v>4500.0</v>
      </c>
      <c r="R3" s="16">
        <v>250.0</v>
      </c>
      <c r="S3" s="16">
        <v>200.0</v>
      </c>
      <c r="T3" s="36">
        <f t="shared" si="1"/>
        <v>4950</v>
      </c>
      <c r="U3" s="22">
        <f t="shared" si="2"/>
        <v>4217</v>
      </c>
      <c r="V3" s="25">
        <f t="shared" si="3"/>
        <v>733</v>
      </c>
      <c r="X3" s="42">
        <f t="shared" si="4"/>
        <v>2395</v>
      </c>
    </row>
    <row r="4">
      <c r="A4" s="4" t="s">
        <v>31</v>
      </c>
      <c r="B4" s="16">
        <v>160.0</v>
      </c>
      <c r="C4" s="16">
        <v>720.0</v>
      </c>
      <c r="D4" s="16">
        <v>0.0</v>
      </c>
      <c r="E4" s="16">
        <v>254.0</v>
      </c>
      <c r="F4" s="16">
        <v>400.0</v>
      </c>
      <c r="G4" s="16">
        <v>0.0</v>
      </c>
      <c r="H4" s="16">
        <v>366.0</v>
      </c>
      <c r="I4" s="39">
        <v>527.0</v>
      </c>
      <c r="J4" s="16">
        <v>1488.0</v>
      </c>
      <c r="K4" s="16">
        <v>177.0</v>
      </c>
      <c r="L4" s="16">
        <v>0.0</v>
      </c>
      <c r="M4" s="16">
        <v>546.0</v>
      </c>
      <c r="N4" s="16">
        <v>80.0</v>
      </c>
      <c r="O4" s="17">
        <v>530.0</v>
      </c>
      <c r="P4" s="16">
        <v>188.0</v>
      </c>
      <c r="Q4" s="16">
        <v>4122.0</v>
      </c>
      <c r="R4" s="16">
        <v>900.0</v>
      </c>
      <c r="S4" s="16">
        <v>800.0</v>
      </c>
      <c r="T4" s="36">
        <f t="shared" si="1"/>
        <v>5822</v>
      </c>
      <c r="U4" s="22">
        <f t="shared" si="2"/>
        <v>4718</v>
      </c>
      <c r="V4" s="25">
        <f t="shared" si="3"/>
        <v>1104</v>
      </c>
      <c r="X4" s="42">
        <f t="shared" si="4"/>
        <v>2415</v>
      </c>
    </row>
    <row r="5">
      <c r="A5" s="4" t="s">
        <v>32</v>
      </c>
      <c r="B5" s="16">
        <v>160.0</v>
      </c>
      <c r="C5" s="16">
        <v>720.0</v>
      </c>
      <c r="D5" s="16">
        <v>0.0</v>
      </c>
      <c r="E5" s="16">
        <v>266.0</v>
      </c>
      <c r="F5" s="16">
        <v>130.0</v>
      </c>
      <c r="G5" s="16">
        <v>0.0</v>
      </c>
      <c r="H5" s="16">
        <v>350.0</v>
      </c>
      <c r="I5" s="39">
        <v>527.0</v>
      </c>
      <c r="J5" s="16">
        <v>1923.0</v>
      </c>
      <c r="K5" s="16">
        <v>177.0</v>
      </c>
      <c r="L5" s="16">
        <v>100.0</v>
      </c>
      <c r="M5" s="16">
        <v>546.0</v>
      </c>
      <c r="N5" s="16">
        <v>80.0</v>
      </c>
      <c r="O5" s="17">
        <v>530.0</v>
      </c>
      <c r="P5" s="16">
        <v>188.0</v>
      </c>
      <c r="Q5" s="16">
        <v>4323.0</v>
      </c>
      <c r="R5" s="16">
        <v>0.0</v>
      </c>
      <c r="S5" s="16">
        <v>230.0</v>
      </c>
      <c r="T5" s="36">
        <f t="shared" si="1"/>
        <v>4553</v>
      </c>
      <c r="U5" s="22">
        <f t="shared" si="2"/>
        <v>4979</v>
      </c>
      <c r="V5" s="25">
        <f t="shared" si="3"/>
        <v>-426</v>
      </c>
      <c r="X5" s="42">
        <f t="shared" si="4"/>
        <v>2580</v>
      </c>
    </row>
    <row r="6">
      <c r="A6" s="4" t="s">
        <v>33</v>
      </c>
      <c r="B6" s="16">
        <v>160.0</v>
      </c>
      <c r="C6" s="16">
        <v>720.0</v>
      </c>
      <c r="D6" s="16">
        <v>0.0</v>
      </c>
      <c r="E6" s="16">
        <v>249.0</v>
      </c>
      <c r="F6" s="16">
        <v>130.0</v>
      </c>
      <c r="G6" s="16">
        <v>0.0</v>
      </c>
      <c r="H6" s="16">
        <v>350.0</v>
      </c>
      <c r="I6" s="39">
        <v>527.0</v>
      </c>
      <c r="J6" s="16">
        <v>2187.0</v>
      </c>
      <c r="K6" s="16">
        <v>177.0</v>
      </c>
      <c r="L6" s="16">
        <v>100.0</v>
      </c>
      <c r="M6" s="16">
        <v>546.0</v>
      </c>
      <c r="N6" s="16">
        <v>80.0</v>
      </c>
      <c r="O6" s="17">
        <v>530.0</v>
      </c>
      <c r="P6" s="16">
        <v>188.0</v>
      </c>
      <c r="Q6" s="16">
        <v>5442.0</v>
      </c>
      <c r="R6" s="16">
        <v>850.0</v>
      </c>
      <c r="S6" s="16">
        <v>230.0</v>
      </c>
      <c r="T6" s="36">
        <f t="shared" si="1"/>
        <v>6522</v>
      </c>
      <c r="U6" s="22">
        <f t="shared" si="2"/>
        <v>5226</v>
      </c>
      <c r="V6" s="25">
        <f t="shared" si="3"/>
        <v>1296</v>
      </c>
      <c r="X6" s="42">
        <f t="shared" si="4"/>
        <v>2844</v>
      </c>
      <c r="Y6" s="31">
        <v>325.0</v>
      </c>
    </row>
    <row r="7">
      <c r="A7" s="4" t="s">
        <v>34</v>
      </c>
      <c r="B7" s="16">
        <v>160.0</v>
      </c>
      <c r="C7" s="16">
        <v>720.0</v>
      </c>
      <c r="D7" s="16">
        <v>100.0</v>
      </c>
      <c r="E7" s="16">
        <v>260.0</v>
      </c>
      <c r="F7" s="16">
        <v>70.0</v>
      </c>
      <c r="G7" s="16">
        <v>0.0</v>
      </c>
      <c r="H7" s="16">
        <v>350.0</v>
      </c>
      <c r="I7" s="39">
        <v>327.0</v>
      </c>
      <c r="J7" s="16">
        <v>2385.0</v>
      </c>
      <c r="K7" s="16">
        <v>177.0</v>
      </c>
      <c r="L7" s="16">
        <v>100.0</v>
      </c>
      <c r="M7" s="16">
        <v>546.0</v>
      </c>
      <c r="N7" s="16">
        <v>80.0</v>
      </c>
      <c r="O7" s="17">
        <v>530.0</v>
      </c>
      <c r="P7" s="16">
        <v>188.0</v>
      </c>
      <c r="Q7" s="16">
        <v>4729.0</v>
      </c>
      <c r="R7" s="16">
        <v>800.0</v>
      </c>
      <c r="S7" s="16">
        <v>220.0</v>
      </c>
      <c r="T7" s="36">
        <f t="shared" si="1"/>
        <v>5749</v>
      </c>
      <c r="U7" s="22">
        <f t="shared" si="2"/>
        <v>5275</v>
      </c>
      <c r="V7" s="25">
        <f t="shared" si="3"/>
        <v>474</v>
      </c>
      <c r="X7" s="42">
        <f t="shared" si="4"/>
        <v>2782</v>
      </c>
      <c r="Y7" s="31">
        <v>159.0</v>
      </c>
    </row>
    <row r="8">
      <c r="A8" s="4" t="s">
        <v>35</v>
      </c>
      <c r="B8" s="16">
        <v>160.0</v>
      </c>
      <c r="C8" s="16">
        <v>700.0</v>
      </c>
      <c r="D8" s="16">
        <v>600.0</v>
      </c>
      <c r="E8" s="16">
        <v>260.0</v>
      </c>
      <c r="F8" s="16">
        <v>70.0</v>
      </c>
      <c r="G8" s="16">
        <v>0.0</v>
      </c>
      <c r="H8" s="16">
        <v>350.0</v>
      </c>
      <c r="I8" s="39">
        <v>810.0</v>
      </c>
      <c r="J8" s="16">
        <v>1919.0</v>
      </c>
      <c r="K8" s="16">
        <v>177.0</v>
      </c>
      <c r="L8" s="16">
        <v>100.0</v>
      </c>
      <c r="M8" s="16">
        <v>546.0</v>
      </c>
      <c r="N8" s="16">
        <v>80.0</v>
      </c>
      <c r="O8" s="17">
        <v>530.0</v>
      </c>
      <c r="P8" s="16">
        <v>188.0</v>
      </c>
      <c r="Q8" s="16">
        <v>4629.0</v>
      </c>
      <c r="R8" s="16">
        <v>725.0</v>
      </c>
      <c r="S8" s="16">
        <v>180.0</v>
      </c>
      <c r="T8" s="36">
        <f t="shared" si="1"/>
        <v>5534</v>
      </c>
      <c r="U8" s="22">
        <f t="shared" si="2"/>
        <v>5772</v>
      </c>
      <c r="V8" s="25">
        <f t="shared" si="3"/>
        <v>-238</v>
      </c>
      <c r="X8" s="42">
        <f t="shared" si="4"/>
        <v>2799</v>
      </c>
      <c r="Y8" s="31">
        <v>159.0</v>
      </c>
    </row>
    <row r="9">
      <c r="A9" s="4" t="s">
        <v>36</v>
      </c>
      <c r="B9" s="16">
        <v>160.0</v>
      </c>
      <c r="C9" s="16">
        <v>726.0</v>
      </c>
      <c r="D9" s="16">
        <v>0.0</v>
      </c>
      <c r="E9" s="16">
        <v>243.0</v>
      </c>
      <c r="F9" s="16">
        <v>0.0</v>
      </c>
      <c r="G9" s="16">
        <v>500.0</v>
      </c>
      <c r="H9" s="16">
        <v>350.0</v>
      </c>
      <c r="I9" s="39">
        <v>290.0</v>
      </c>
      <c r="J9" s="16">
        <v>2484.0</v>
      </c>
      <c r="K9" s="16">
        <v>177.0</v>
      </c>
      <c r="L9" s="16">
        <v>100.0</v>
      </c>
      <c r="M9" s="16">
        <v>0.0</v>
      </c>
      <c r="N9" s="16">
        <v>80.0</v>
      </c>
      <c r="O9" s="17">
        <v>530.0</v>
      </c>
      <c r="P9" s="16">
        <v>188.0</v>
      </c>
      <c r="Q9" s="16">
        <v>4629.0</v>
      </c>
      <c r="R9" s="16">
        <v>350.0</v>
      </c>
      <c r="S9" s="16">
        <v>200.0</v>
      </c>
      <c r="T9" s="36">
        <f t="shared" si="1"/>
        <v>5179</v>
      </c>
      <c r="U9" s="22">
        <f t="shared" si="2"/>
        <v>5110</v>
      </c>
      <c r="V9" s="25">
        <f t="shared" si="3"/>
        <v>69</v>
      </c>
      <c r="X9" s="42">
        <f t="shared" si="4"/>
        <v>2774</v>
      </c>
      <c r="Y9" s="31">
        <v>290.0</v>
      </c>
    </row>
    <row r="10">
      <c r="A10" s="4" t="s">
        <v>37</v>
      </c>
      <c r="B10" s="16">
        <v>160.0</v>
      </c>
      <c r="C10" s="16">
        <v>733.0</v>
      </c>
      <c r="D10" s="16">
        <v>0.0</v>
      </c>
      <c r="E10" s="16">
        <v>240.0</v>
      </c>
      <c r="F10" s="16">
        <v>350.0</v>
      </c>
      <c r="G10" s="16">
        <v>0.0</v>
      </c>
      <c r="H10" s="16">
        <v>350.0</v>
      </c>
      <c r="I10" s="39">
        <v>430.0</v>
      </c>
      <c r="J10" s="16">
        <v>2364.0</v>
      </c>
      <c r="K10" s="16">
        <v>177.0</v>
      </c>
      <c r="L10" s="16">
        <v>100.0</v>
      </c>
      <c r="M10" s="16">
        <v>0.0</v>
      </c>
      <c r="N10" s="16">
        <v>80.0</v>
      </c>
      <c r="O10" s="17">
        <v>530.0</v>
      </c>
      <c r="P10" s="16">
        <v>188.0</v>
      </c>
      <c r="Q10" s="16">
        <v>4629.0</v>
      </c>
      <c r="R10" s="16">
        <v>400.0</v>
      </c>
      <c r="S10" s="16">
        <v>100.0</v>
      </c>
      <c r="T10" s="36">
        <f t="shared" si="1"/>
        <v>5129</v>
      </c>
      <c r="U10" s="22">
        <f t="shared" si="2"/>
        <v>4984</v>
      </c>
      <c r="V10" s="25">
        <f t="shared" si="3"/>
        <v>145</v>
      </c>
      <c r="X10" s="42">
        <f t="shared" si="4"/>
        <v>3144</v>
      </c>
      <c r="Y10" s="31">
        <v>159.0</v>
      </c>
    </row>
    <row r="11">
      <c r="A11" s="4" t="s">
        <v>38</v>
      </c>
      <c r="B11" s="16">
        <v>160.0</v>
      </c>
      <c r="C11" s="16">
        <v>731.0</v>
      </c>
      <c r="D11" s="16">
        <v>0.0</v>
      </c>
      <c r="E11" s="16">
        <v>260.0</v>
      </c>
      <c r="F11" s="16">
        <v>1000.0</v>
      </c>
      <c r="G11" s="16">
        <v>0.0</v>
      </c>
      <c r="H11" s="16">
        <v>440.0</v>
      </c>
      <c r="I11" s="39">
        <v>422.0</v>
      </c>
      <c r="J11" s="16">
        <v>2162.0</v>
      </c>
      <c r="K11" s="16">
        <v>177.0</v>
      </c>
      <c r="L11" s="16">
        <v>0.0</v>
      </c>
      <c r="M11" s="16">
        <v>0.0</v>
      </c>
      <c r="N11" s="16">
        <v>80.0</v>
      </c>
      <c r="O11" s="17">
        <v>530.0</v>
      </c>
      <c r="P11" s="16">
        <v>188.0</v>
      </c>
      <c r="Q11" s="16">
        <v>4715.0</v>
      </c>
      <c r="R11" s="16">
        <v>0.0</v>
      </c>
      <c r="S11" s="16">
        <v>600.0</v>
      </c>
      <c r="T11" s="36">
        <f t="shared" si="1"/>
        <v>5315</v>
      </c>
      <c r="U11" s="22">
        <f t="shared" si="2"/>
        <v>5432</v>
      </c>
      <c r="V11" s="25">
        <f t="shared" si="3"/>
        <v>-117</v>
      </c>
      <c r="X11" s="42">
        <f t="shared" si="4"/>
        <v>3584</v>
      </c>
      <c r="Y11" s="31">
        <v>390.0</v>
      </c>
    </row>
    <row r="12">
      <c r="A12" s="4" t="s">
        <v>39</v>
      </c>
      <c r="B12" s="16">
        <v>160.0</v>
      </c>
      <c r="C12" s="16">
        <v>735.0</v>
      </c>
      <c r="D12" s="16">
        <v>0.0</v>
      </c>
      <c r="E12" s="16">
        <v>260.0</v>
      </c>
      <c r="F12" s="16">
        <v>120.0</v>
      </c>
      <c r="G12" s="16">
        <v>0.0</v>
      </c>
      <c r="H12" s="16">
        <v>401.0</v>
      </c>
      <c r="I12" s="16">
        <v>337.0</v>
      </c>
      <c r="J12" s="16">
        <v>2731.0</v>
      </c>
      <c r="K12" s="16">
        <v>177.0</v>
      </c>
      <c r="L12" s="16">
        <v>0.0</v>
      </c>
      <c r="M12" s="16">
        <v>0.0</v>
      </c>
      <c r="N12" s="16">
        <v>80.0</v>
      </c>
      <c r="O12" s="17">
        <v>530.0</v>
      </c>
      <c r="P12" s="16">
        <v>188.0</v>
      </c>
      <c r="Q12" s="16">
        <v>4715.0</v>
      </c>
      <c r="R12" s="16">
        <v>0.0</v>
      </c>
      <c r="S12" s="16">
        <v>0.0</v>
      </c>
      <c r="T12" s="36">
        <f t="shared" si="1"/>
        <v>4715</v>
      </c>
      <c r="U12" s="22">
        <f t="shared" si="2"/>
        <v>5001</v>
      </c>
      <c r="V12" s="25">
        <f t="shared" si="3"/>
        <v>-286</v>
      </c>
      <c r="X12" s="42">
        <f t="shared" si="4"/>
        <v>3188</v>
      </c>
      <c r="Y12" s="31">
        <v>605.0</v>
      </c>
    </row>
    <row r="13">
      <c r="A13" s="4" t="s">
        <v>40</v>
      </c>
      <c r="B13" s="16">
        <v>160.0</v>
      </c>
      <c r="C13" s="16">
        <v>720.0</v>
      </c>
      <c r="D13" s="16">
        <v>0.0</v>
      </c>
      <c r="E13" s="16">
        <v>319.0</v>
      </c>
      <c r="F13" s="16">
        <v>150.0</v>
      </c>
      <c r="G13" s="16">
        <v>0.0</v>
      </c>
      <c r="H13" s="16">
        <v>401.0</v>
      </c>
      <c r="I13" s="16">
        <v>437.0</v>
      </c>
      <c r="J13" s="16">
        <v>2815.0</v>
      </c>
      <c r="K13" s="16">
        <v>720.0</v>
      </c>
      <c r="L13" s="16">
        <v>0.0</v>
      </c>
      <c r="M13" s="16">
        <v>0.0</v>
      </c>
      <c r="N13" s="16">
        <v>80.0</v>
      </c>
      <c r="O13" s="17">
        <v>530.0</v>
      </c>
      <c r="P13" s="16">
        <v>188.0</v>
      </c>
      <c r="Q13" s="16">
        <v>4830.0</v>
      </c>
      <c r="R13" s="16">
        <v>0.0</v>
      </c>
      <c r="S13" s="16">
        <v>250.0</v>
      </c>
      <c r="T13" s="36">
        <f t="shared" si="1"/>
        <v>5080</v>
      </c>
      <c r="U13" s="22">
        <f t="shared" si="2"/>
        <v>5802</v>
      </c>
      <c r="V13" s="25">
        <f t="shared" si="3"/>
        <v>-722</v>
      </c>
      <c r="X13" s="42">
        <f t="shared" si="4"/>
        <v>3402</v>
      </c>
      <c r="Y13" s="31">
        <v>635.0</v>
      </c>
    </row>
    <row r="14">
      <c r="A14" s="55" t="s">
        <v>55</v>
      </c>
      <c r="B14" s="56">
        <f t="shared" ref="B14:U14" si="5">SUM(B2:B13)</f>
        <v>1920</v>
      </c>
      <c r="C14" s="56">
        <f t="shared" si="5"/>
        <v>8665</v>
      </c>
      <c r="D14" s="57">
        <f t="shared" si="5"/>
        <v>700</v>
      </c>
      <c r="E14" s="56">
        <f t="shared" si="5"/>
        <v>3066</v>
      </c>
      <c r="F14" s="57">
        <f t="shared" si="5"/>
        <v>3420</v>
      </c>
      <c r="G14" s="56">
        <f t="shared" si="5"/>
        <v>500</v>
      </c>
      <c r="H14" s="56">
        <f t="shared" si="5"/>
        <v>4058</v>
      </c>
      <c r="I14" s="56">
        <f t="shared" si="5"/>
        <v>5678</v>
      </c>
      <c r="J14" s="56">
        <f t="shared" si="5"/>
        <v>24853</v>
      </c>
      <c r="K14" s="56">
        <f t="shared" si="5"/>
        <v>2667</v>
      </c>
      <c r="L14" s="57">
        <f t="shared" si="5"/>
        <v>700</v>
      </c>
      <c r="M14" s="57">
        <f t="shared" si="5"/>
        <v>2730</v>
      </c>
      <c r="N14" s="56">
        <f t="shared" si="5"/>
        <v>960</v>
      </c>
      <c r="O14" s="56">
        <f t="shared" si="5"/>
        <v>6360</v>
      </c>
      <c r="P14" s="56">
        <f t="shared" si="5"/>
        <v>2256</v>
      </c>
      <c r="Q14" s="56">
        <f t="shared" si="5"/>
        <v>54759</v>
      </c>
      <c r="R14" s="56">
        <f t="shared" si="5"/>
        <v>4275</v>
      </c>
      <c r="S14" s="56">
        <f t="shared" si="5"/>
        <v>3010</v>
      </c>
      <c r="T14" s="58">
        <f t="shared" si="5"/>
        <v>62044</v>
      </c>
      <c r="U14" s="58">
        <f t="shared" si="5"/>
        <v>59917</v>
      </c>
      <c r="V14" s="58">
        <f>(T14-U14)</f>
        <v>2127</v>
      </c>
    </row>
    <row r="15">
      <c r="G15" s="10"/>
    </row>
    <row r="16">
      <c r="G16" s="10"/>
      <c r="H16" s="31"/>
      <c r="I16" s="31"/>
      <c r="J16" s="31"/>
    </row>
    <row r="17">
      <c r="G17" s="10"/>
    </row>
    <row r="18">
      <c r="G1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13"/>
  </cols>
  <sheetData>
    <row r="1">
      <c r="A1" s="40" t="s">
        <v>0</v>
      </c>
      <c r="B1" s="41" t="s">
        <v>2</v>
      </c>
      <c r="C1" s="41" t="s">
        <v>1</v>
      </c>
      <c r="D1" s="41" t="s">
        <v>47</v>
      </c>
      <c r="E1" s="41" t="s">
        <v>4</v>
      </c>
      <c r="F1" s="41" t="s">
        <v>41</v>
      </c>
      <c r="G1" s="41" t="s">
        <v>42</v>
      </c>
      <c r="H1" s="41" t="s">
        <v>7</v>
      </c>
      <c r="I1" s="41" t="s">
        <v>13</v>
      </c>
      <c r="J1" s="41" t="s">
        <v>48</v>
      </c>
      <c r="K1" s="41" t="s">
        <v>49</v>
      </c>
      <c r="L1" s="41" t="s">
        <v>50</v>
      </c>
      <c r="M1" s="41" t="s">
        <v>51</v>
      </c>
      <c r="N1" s="41" t="s">
        <v>52</v>
      </c>
      <c r="O1" s="41" t="s">
        <v>9</v>
      </c>
      <c r="P1" s="41" t="s">
        <v>53</v>
      </c>
      <c r="Q1" s="41" t="s">
        <v>12</v>
      </c>
      <c r="R1" s="41" t="s">
        <v>10</v>
      </c>
      <c r="S1" s="41" t="s">
        <v>11</v>
      </c>
      <c r="T1" s="43" t="s">
        <v>17</v>
      </c>
      <c r="U1" s="43" t="s">
        <v>22</v>
      </c>
      <c r="V1" s="44" t="s">
        <v>24</v>
      </c>
      <c r="W1" s="45" t="s">
        <v>27</v>
      </c>
      <c r="X1" s="46" t="s">
        <v>28</v>
      </c>
      <c r="Y1" s="47" t="s">
        <v>54</v>
      </c>
    </row>
    <row r="2">
      <c r="A2" s="41" t="s">
        <v>26</v>
      </c>
      <c r="B2" s="48">
        <v>160.0</v>
      </c>
      <c r="C2" s="48">
        <v>745.0</v>
      </c>
      <c r="D2" s="48">
        <v>100.0</v>
      </c>
      <c r="E2" s="48">
        <v>308.0</v>
      </c>
      <c r="F2" s="48">
        <v>3800.0</v>
      </c>
      <c r="G2" s="48">
        <v>413.0</v>
      </c>
      <c r="H2" s="49">
        <v>200.0</v>
      </c>
      <c r="I2" s="48">
        <v>3859.0</v>
      </c>
      <c r="J2" s="48">
        <v>0.0</v>
      </c>
      <c r="K2" s="48">
        <v>0.0</v>
      </c>
      <c r="L2" s="48">
        <v>0.0</v>
      </c>
      <c r="M2" s="48">
        <v>0.0</v>
      </c>
      <c r="N2" s="48">
        <v>600.0</v>
      </c>
      <c r="O2" s="48">
        <v>203.0</v>
      </c>
      <c r="P2" s="48">
        <v>0.0</v>
      </c>
      <c r="Q2" s="48">
        <v>80.0</v>
      </c>
      <c r="R2" s="50">
        <v>530.0</v>
      </c>
      <c r="S2" s="48">
        <v>188.0</v>
      </c>
      <c r="T2" s="48">
        <v>5021.0</v>
      </c>
      <c r="U2" s="48">
        <v>8900.0</v>
      </c>
      <c r="V2" s="51">
        <f t="shared" ref="V2:V13" si="1">SUM(T2:U2)</f>
        <v>13921</v>
      </c>
      <c r="W2" s="52">
        <f t="shared" ref="W2:W13" si="2">SUM(B2:Q2)</f>
        <v>10468</v>
      </c>
      <c r="X2" s="53">
        <f t="shared" ref="X2:X13" si="3">SUM(V2-W2)</f>
        <v>3453</v>
      </c>
      <c r="Y2" s="54">
        <f t="shared" ref="Y2:Y3" si="4">H2+I2</f>
        <v>4059</v>
      </c>
      <c r="Z2" s="31">
        <v>405.0</v>
      </c>
    </row>
    <row r="3">
      <c r="A3" s="41" t="s">
        <v>30</v>
      </c>
      <c r="B3" s="48">
        <v>160.0</v>
      </c>
      <c r="C3" s="48">
        <v>745.0</v>
      </c>
      <c r="D3" s="48">
        <v>200.0</v>
      </c>
      <c r="E3" s="48">
        <v>278.0</v>
      </c>
      <c r="F3" s="48">
        <v>1000.0</v>
      </c>
      <c r="G3" s="48">
        <v>412.0</v>
      </c>
      <c r="H3" s="49">
        <v>250.0</v>
      </c>
      <c r="I3" s="48">
        <v>1817.0</v>
      </c>
      <c r="J3" s="48">
        <v>0.0</v>
      </c>
      <c r="K3" s="48">
        <v>0.0</v>
      </c>
      <c r="L3" s="48">
        <v>0.0</v>
      </c>
      <c r="M3" s="48">
        <v>0.0</v>
      </c>
      <c r="N3" s="48">
        <v>600.0</v>
      </c>
      <c r="O3" s="48">
        <v>203.0</v>
      </c>
      <c r="P3" s="48">
        <v>0.0</v>
      </c>
      <c r="Q3" s="48">
        <v>80.0</v>
      </c>
      <c r="R3" s="50">
        <v>530.0</v>
      </c>
      <c r="S3" s="48">
        <v>188.0</v>
      </c>
      <c r="T3" s="48">
        <v>5021.0</v>
      </c>
      <c r="U3" s="48">
        <v>2300.0</v>
      </c>
      <c r="V3" s="51">
        <f t="shared" si="1"/>
        <v>7321</v>
      </c>
      <c r="W3" s="52">
        <f t="shared" si="2"/>
        <v>5745</v>
      </c>
      <c r="X3" s="53">
        <f t="shared" si="3"/>
        <v>1576</v>
      </c>
      <c r="Y3" s="54">
        <f t="shared" si="4"/>
        <v>2067</v>
      </c>
      <c r="Z3" s="31">
        <v>262.0</v>
      </c>
    </row>
    <row r="4">
      <c r="A4" s="41" t="s">
        <v>31</v>
      </c>
      <c r="B4" s="48">
        <v>160.0</v>
      </c>
      <c r="C4" s="48">
        <v>745.0</v>
      </c>
      <c r="D4" s="48">
        <v>200.0</v>
      </c>
      <c r="E4" s="48">
        <v>255.0</v>
      </c>
      <c r="F4" s="48">
        <v>1000.0</v>
      </c>
      <c r="G4" s="48">
        <v>413.0</v>
      </c>
      <c r="H4" s="49">
        <v>310.0</v>
      </c>
      <c r="I4" s="48">
        <v>2246.0</v>
      </c>
      <c r="J4" s="48">
        <v>0.0</v>
      </c>
      <c r="K4" s="48">
        <v>425.0</v>
      </c>
      <c r="L4" s="48">
        <v>0.0</v>
      </c>
      <c r="M4" s="48">
        <v>0.0</v>
      </c>
      <c r="N4" s="48">
        <v>600.0</v>
      </c>
      <c r="O4" s="48">
        <v>203.0</v>
      </c>
      <c r="P4" s="48">
        <v>0.0</v>
      </c>
      <c r="Q4" s="48">
        <v>80.0</v>
      </c>
      <c r="R4" s="50">
        <v>530.0</v>
      </c>
      <c r="S4" s="48">
        <v>188.0</v>
      </c>
      <c r="T4" s="48">
        <v>5031.0</v>
      </c>
      <c r="U4" s="48">
        <v>3100.0</v>
      </c>
      <c r="V4" s="51">
        <f t="shared" si="1"/>
        <v>8131</v>
      </c>
      <c r="W4" s="52">
        <f t="shared" si="2"/>
        <v>6637</v>
      </c>
      <c r="X4" s="53">
        <f t="shared" si="3"/>
        <v>1494</v>
      </c>
      <c r="Y4" s="54">
        <f t="shared" ref="Y4:Y13" si="5">H4+I4+K4</f>
        <v>2981</v>
      </c>
      <c r="Z4" s="31">
        <v>392.0</v>
      </c>
    </row>
    <row r="5">
      <c r="A5" s="41" t="s">
        <v>32</v>
      </c>
      <c r="B5" s="48">
        <v>160.0</v>
      </c>
      <c r="C5" s="48">
        <v>745.0</v>
      </c>
      <c r="D5" s="48">
        <v>500.0</v>
      </c>
      <c r="E5" s="48">
        <v>188.0</v>
      </c>
      <c r="F5" s="48">
        <v>1350.0</v>
      </c>
      <c r="G5" s="48">
        <v>412.0</v>
      </c>
      <c r="H5" s="49">
        <v>0.0</v>
      </c>
      <c r="I5" s="48">
        <v>2969.0</v>
      </c>
      <c r="J5" s="48">
        <v>0.0</v>
      </c>
      <c r="K5" s="48">
        <v>260.0</v>
      </c>
      <c r="L5" s="48">
        <v>0.0</v>
      </c>
      <c r="M5" s="48">
        <v>0.0</v>
      </c>
      <c r="N5" s="48">
        <v>600.0</v>
      </c>
      <c r="O5" s="48">
        <v>203.0</v>
      </c>
      <c r="P5" s="48">
        <v>0.0</v>
      </c>
      <c r="Q5" s="48">
        <v>80.0</v>
      </c>
      <c r="R5" s="50">
        <v>530.0</v>
      </c>
      <c r="S5" s="48">
        <v>188.0</v>
      </c>
      <c r="T5" s="48">
        <v>5528.0</v>
      </c>
      <c r="U5" s="48">
        <v>3100.0</v>
      </c>
      <c r="V5" s="51">
        <f t="shared" si="1"/>
        <v>8628</v>
      </c>
      <c r="W5" s="52">
        <f t="shared" si="2"/>
        <v>7467</v>
      </c>
      <c r="X5" s="53">
        <f t="shared" si="3"/>
        <v>1161</v>
      </c>
      <c r="Y5" s="54">
        <f t="shared" si="5"/>
        <v>3229</v>
      </c>
      <c r="Z5" s="31">
        <v>639.0</v>
      </c>
    </row>
    <row r="6">
      <c r="A6" s="41" t="s">
        <v>33</v>
      </c>
      <c r="B6" s="48">
        <v>160.0</v>
      </c>
      <c r="C6" s="48">
        <v>745.0</v>
      </c>
      <c r="D6" s="48">
        <v>3000.0</v>
      </c>
      <c r="E6" s="48">
        <v>208.0</v>
      </c>
      <c r="F6" s="48">
        <v>0.0</v>
      </c>
      <c r="G6" s="48">
        <v>412.0</v>
      </c>
      <c r="H6" s="49">
        <v>0.0</v>
      </c>
      <c r="I6" s="48">
        <v>1280.0</v>
      </c>
      <c r="J6" s="48">
        <v>0.0</v>
      </c>
      <c r="K6" s="48">
        <v>444.0</v>
      </c>
      <c r="L6" s="48">
        <v>0.0</v>
      </c>
      <c r="M6" s="48">
        <v>0.0</v>
      </c>
      <c r="N6" s="48">
        <v>600.0</v>
      </c>
      <c r="O6" s="48">
        <v>203.0</v>
      </c>
      <c r="P6" s="48">
        <v>0.0</v>
      </c>
      <c r="Q6" s="48">
        <v>80.0</v>
      </c>
      <c r="R6" s="50">
        <v>530.0</v>
      </c>
      <c r="S6" s="48">
        <v>188.0</v>
      </c>
      <c r="T6" s="48">
        <v>5192.0</v>
      </c>
      <c r="U6" s="48">
        <v>3100.0</v>
      </c>
      <c r="V6" s="51">
        <f t="shared" si="1"/>
        <v>8292</v>
      </c>
      <c r="W6" s="52">
        <f t="shared" si="2"/>
        <v>7132</v>
      </c>
      <c r="X6" s="53">
        <f t="shared" si="3"/>
        <v>1160</v>
      </c>
      <c r="Y6" s="54">
        <f t="shared" si="5"/>
        <v>1724</v>
      </c>
      <c r="Z6" s="31">
        <v>350.0</v>
      </c>
    </row>
    <row r="7">
      <c r="A7" s="41" t="s">
        <v>34</v>
      </c>
      <c r="B7" s="48">
        <v>160.0</v>
      </c>
      <c r="C7" s="48">
        <v>745.0</v>
      </c>
      <c r="D7" s="48">
        <v>2000.0</v>
      </c>
      <c r="E7" s="48">
        <v>250.0</v>
      </c>
      <c r="F7" s="48">
        <v>0.0</v>
      </c>
      <c r="G7" s="48">
        <v>413.0</v>
      </c>
      <c r="H7" s="49">
        <v>0.0</v>
      </c>
      <c r="I7" s="48">
        <v>2750.0</v>
      </c>
      <c r="J7" s="48">
        <v>0.0</v>
      </c>
      <c r="K7" s="48">
        <v>404.0</v>
      </c>
      <c r="L7" s="48">
        <v>0.0</v>
      </c>
      <c r="M7" s="48">
        <v>0.0</v>
      </c>
      <c r="N7" s="48">
        <v>600.0</v>
      </c>
      <c r="O7" s="48">
        <v>203.0</v>
      </c>
      <c r="P7" s="48">
        <v>0.0</v>
      </c>
      <c r="Q7" s="48">
        <v>80.0</v>
      </c>
      <c r="R7" s="50">
        <v>530.0</v>
      </c>
      <c r="S7" s="48">
        <v>188.0</v>
      </c>
      <c r="T7" s="48">
        <v>5192.0</v>
      </c>
      <c r="U7" s="48">
        <v>4100.0</v>
      </c>
      <c r="V7" s="51">
        <f t="shared" si="1"/>
        <v>9292</v>
      </c>
      <c r="W7" s="52">
        <f t="shared" si="2"/>
        <v>7605</v>
      </c>
      <c r="X7" s="53">
        <f t="shared" si="3"/>
        <v>1687</v>
      </c>
      <c r="Y7" s="54">
        <f t="shared" si="5"/>
        <v>3154</v>
      </c>
      <c r="Z7" s="31">
        <v>200.0</v>
      </c>
    </row>
    <row r="8">
      <c r="A8" s="41" t="s">
        <v>35</v>
      </c>
      <c r="B8" s="48">
        <v>160.0</v>
      </c>
      <c r="C8" s="48">
        <v>772.0</v>
      </c>
      <c r="D8" s="48">
        <v>3000.0</v>
      </c>
      <c r="E8" s="48">
        <v>200.0</v>
      </c>
      <c r="F8" s="48">
        <v>0.0</v>
      </c>
      <c r="G8" s="48">
        <v>413.0</v>
      </c>
      <c r="H8" s="49">
        <v>0.0</v>
      </c>
      <c r="I8" s="48">
        <v>3726.0</v>
      </c>
      <c r="J8" s="48">
        <v>0.0</v>
      </c>
      <c r="K8" s="48">
        <v>404.0</v>
      </c>
      <c r="L8" s="48">
        <v>0.0</v>
      </c>
      <c r="M8" s="48">
        <v>410.0</v>
      </c>
      <c r="N8" s="48">
        <v>0.0</v>
      </c>
      <c r="O8" s="48">
        <v>203.0</v>
      </c>
      <c r="P8" s="48">
        <v>194.0</v>
      </c>
      <c r="Q8" s="48">
        <v>80.0</v>
      </c>
      <c r="R8" s="50">
        <v>530.0</v>
      </c>
      <c r="S8" s="48">
        <v>188.0</v>
      </c>
      <c r="T8" s="48">
        <v>5197.0</v>
      </c>
      <c r="U8" s="48">
        <v>5224.0</v>
      </c>
      <c r="V8" s="51">
        <f t="shared" si="1"/>
        <v>10421</v>
      </c>
      <c r="W8" s="52">
        <f t="shared" si="2"/>
        <v>9562</v>
      </c>
      <c r="X8" s="53">
        <f t="shared" si="3"/>
        <v>859</v>
      </c>
      <c r="Y8" s="54">
        <f t="shared" si="5"/>
        <v>4130</v>
      </c>
      <c r="Z8" s="31">
        <v>800.0</v>
      </c>
    </row>
    <row r="9">
      <c r="A9" s="41" t="s">
        <v>36</v>
      </c>
      <c r="B9" s="48">
        <v>160.0</v>
      </c>
      <c r="C9" s="48">
        <v>755.0</v>
      </c>
      <c r="D9" s="48">
        <v>3000.0</v>
      </c>
      <c r="E9" s="48">
        <v>183.0</v>
      </c>
      <c r="F9" s="48">
        <v>0.0</v>
      </c>
      <c r="G9" s="48">
        <v>413.0</v>
      </c>
      <c r="H9" s="49">
        <v>0.0</v>
      </c>
      <c r="I9" s="48">
        <v>1925.0</v>
      </c>
      <c r="J9" s="48">
        <v>0.0</v>
      </c>
      <c r="K9" s="48">
        <v>1210.0</v>
      </c>
      <c r="L9" s="48">
        <v>0.0</v>
      </c>
      <c r="M9" s="48">
        <v>447.0</v>
      </c>
      <c r="N9" s="48">
        <v>0.0</v>
      </c>
      <c r="O9" s="48">
        <v>203.0</v>
      </c>
      <c r="P9" s="48">
        <v>194.0</v>
      </c>
      <c r="Q9" s="48">
        <v>80.0</v>
      </c>
      <c r="R9" s="50">
        <v>530.0</v>
      </c>
      <c r="S9" s="48">
        <v>188.0</v>
      </c>
      <c r="T9" s="48">
        <v>5197.0</v>
      </c>
      <c r="U9" s="48">
        <v>4750.0</v>
      </c>
      <c r="V9" s="51">
        <f t="shared" si="1"/>
        <v>9947</v>
      </c>
      <c r="W9" s="52">
        <f t="shared" si="2"/>
        <v>8570</v>
      </c>
      <c r="X9" s="53">
        <f t="shared" si="3"/>
        <v>1377</v>
      </c>
      <c r="Y9" s="54">
        <f t="shared" si="5"/>
        <v>3135</v>
      </c>
      <c r="Z9" s="31">
        <v>772.0</v>
      </c>
    </row>
    <row r="10">
      <c r="A10" s="41" t="s">
        <v>37</v>
      </c>
      <c r="B10" s="48">
        <v>160.0</v>
      </c>
      <c r="C10" s="48">
        <v>755.0</v>
      </c>
      <c r="D10" s="48">
        <v>3000.0</v>
      </c>
      <c r="E10" s="48">
        <v>174.0</v>
      </c>
      <c r="F10" s="48">
        <v>0.0</v>
      </c>
      <c r="G10" s="48">
        <v>413.0</v>
      </c>
      <c r="H10" s="49">
        <v>0.0</v>
      </c>
      <c r="I10" s="48">
        <v>2233.0</v>
      </c>
      <c r="J10" s="48">
        <v>0.0</v>
      </c>
      <c r="K10" s="48">
        <v>720.0</v>
      </c>
      <c r="L10" s="48">
        <v>0.0</v>
      </c>
      <c r="M10" s="48">
        <v>0.0</v>
      </c>
      <c r="N10" s="48">
        <v>0.0</v>
      </c>
      <c r="O10" s="48">
        <v>203.0</v>
      </c>
      <c r="P10" s="48">
        <v>194.0</v>
      </c>
      <c r="Q10" s="48">
        <v>80.0</v>
      </c>
      <c r="R10" s="50">
        <v>530.0</v>
      </c>
      <c r="S10" s="48">
        <v>188.0</v>
      </c>
      <c r="T10" s="48">
        <v>5197.0</v>
      </c>
      <c r="U10" s="48">
        <v>3100.0</v>
      </c>
      <c r="V10" s="51">
        <f t="shared" si="1"/>
        <v>8297</v>
      </c>
      <c r="W10" s="52">
        <f t="shared" si="2"/>
        <v>7932</v>
      </c>
      <c r="X10" s="53">
        <f t="shared" si="3"/>
        <v>365</v>
      </c>
      <c r="Y10" s="54">
        <f t="shared" si="5"/>
        <v>2953</v>
      </c>
      <c r="Z10" s="31">
        <v>723.0</v>
      </c>
    </row>
    <row r="11">
      <c r="A11" s="41" t="s">
        <v>38</v>
      </c>
      <c r="B11" s="48">
        <v>160.0</v>
      </c>
      <c r="C11" s="48">
        <v>761.0</v>
      </c>
      <c r="D11" s="48">
        <v>2000.0</v>
      </c>
      <c r="E11" s="48">
        <v>185.0</v>
      </c>
      <c r="F11" s="48">
        <v>0.0</v>
      </c>
      <c r="G11" s="48">
        <v>0.0</v>
      </c>
      <c r="H11" s="49">
        <v>0.0</v>
      </c>
      <c r="I11" s="48">
        <v>2693.0</v>
      </c>
      <c r="J11" s="48">
        <v>68.0</v>
      </c>
      <c r="K11" s="48">
        <v>720.0</v>
      </c>
      <c r="L11" s="48">
        <v>0.0</v>
      </c>
      <c r="M11" s="48">
        <v>245.0</v>
      </c>
      <c r="N11" s="48">
        <v>0.0</v>
      </c>
      <c r="O11" s="48">
        <v>203.0</v>
      </c>
      <c r="P11" s="48">
        <v>194.0</v>
      </c>
      <c r="Q11" s="48">
        <v>80.0</v>
      </c>
      <c r="R11" s="50">
        <v>530.0</v>
      </c>
      <c r="S11" s="48">
        <v>188.0</v>
      </c>
      <c r="T11" s="48">
        <v>5197.0</v>
      </c>
      <c r="U11" s="48">
        <v>3100.0</v>
      </c>
      <c r="V11" s="51">
        <f t="shared" si="1"/>
        <v>8297</v>
      </c>
      <c r="W11" s="52">
        <f t="shared" si="2"/>
        <v>7309</v>
      </c>
      <c r="X11" s="53">
        <f t="shared" si="3"/>
        <v>988</v>
      </c>
      <c r="Y11" s="54">
        <f t="shared" si="5"/>
        <v>3413</v>
      </c>
      <c r="Z11" s="31">
        <v>520.0</v>
      </c>
    </row>
    <row r="12">
      <c r="A12" s="41" t="s">
        <v>39</v>
      </c>
      <c r="B12" s="48">
        <v>160.0</v>
      </c>
      <c r="C12" s="48">
        <v>755.0</v>
      </c>
      <c r="D12" s="48">
        <v>0.0</v>
      </c>
      <c r="E12" s="48">
        <v>210.0</v>
      </c>
      <c r="F12" s="48">
        <v>0.0</v>
      </c>
      <c r="G12" s="48">
        <v>460.0</v>
      </c>
      <c r="H12" s="49">
        <v>0.0</v>
      </c>
      <c r="I12" s="48">
        <v>3205.0</v>
      </c>
      <c r="J12" s="48">
        <v>68.0</v>
      </c>
      <c r="K12" s="48">
        <v>507.0</v>
      </c>
      <c r="L12" s="48">
        <v>0.0</v>
      </c>
      <c r="M12" s="48">
        <v>201.0</v>
      </c>
      <c r="N12" s="48">
        <v>0.0</v>
      </c>
      <c r="O12" s="48">
        <v>203.0</v>
      </c>
      <c r="P12" s="48">
        <v>194.0</v>
      </c>
      <c r="Q12" s="48">
        <v>80.0</v>
      </c>
      <c r="R12" s="50">
        <v>530.0</v>
      </c>
      <c r="S12" s="48">
        <v>188.0</v>
      </c>
      <c r="T12" s="48">
        <v>5197.0</v>
      </c>
      <c r="U12" s="48">
        <v>0.0</v>
      </c>
      <c r="V12" s="51">
        <f t="shared" si="1"/>
        <v>5197</v>
      </c>
      <c r="W12" s="52">
        <f t="shared" si="2"/>
        <v>6043</v>
      </c>
      <c r="X12" s="53">
        <f t="shared" si="3"/>
        <v>-846</v>
      </c>
      <c r="Y12" s="54">
        <f t="shared" si="5"/>
        <v>3712</v>
      </c>
      <c r="Z12" s="31">
        <v>340.0</v>
      </c>
    </row>
    <row r="13">
      <c r="A13" s="41" t="s">
        <v>40</v>
      </c>
      <c r="B13" s="48">
        <v>0.0</v>
      </c>
      <c r="C13" s="48">
        <v>0.0</v>
      </c>
      <c r="D13" s="48">
        <v>0.0</v>
      </c>
      <c r="E13" s="48">
        <v>344.0</v>
      </c>
      <c r="F13" s="48">
        <v>0.0</v>
      </c>
      <c r="G13" s="48">
        <v>0.0</v>
      </c>
      <c r="H13" s="49">
        <v>0.0</v>
      </c>
      <c r="I13" s="48">
        <v>3056.0</v>
      </c>
      <c r="J13" s="48">
        <v>0.0</v>
      </c>
      <c r="K13" s="48">
        <v>650.0</v>
      </c>
      <c r="L13" s="48">
        <v>0.0</v>
      </c>
      <c r="M13" s="48">
        <v>565.0</v>
      </c>
      <c r="N13" s="48">
        <v>0.0</v>
      </c>
      <c r="O13" s="48">
        <v>203.0</v>
      </c>
      <c r="P13" s="48">
        <v>194.0</v>
      </c>
      <c r="Q13" s="48">
        <v>80.0</v>
      </c>
      <c r="R13" s="50">
        <v>530.0</v>
      </c>
      <c r="S13" s="48">
        <v>188.0</v>
      </c>
      <c r="T13" s="48">
        <v>5197.0</v>
      </c>
      <c r="U13" s="48">
        <v>100.0</v>
      </c>
      <c r="V13" s="51">
        <f t="shared" si="1"/>
        <v>5297</v>
      </c>
      <c r="W13" s="52">
        <f t="shared" si="2"/>
        <v>5092</v>
      </c>
      <c r="X13" s="53">
        <f t="shared" si="3"/>
        <v>205</v>
      </c>
      <c r="Y13" s="54">
        <f t="shared" si="5"/>
        <v>3706</v>
      </c>
      <c r="Z13" s="31">
        <v>577.0</v>
      </c>
    </row>
    <row r="14">
      <c r="A14" s="76" t="s">
        <v>55</v>
      </c>
      <c r="B14" s="77">
        <f t="shared" ref="B14:I14" si="6">SUM(B2:B13)</f>
        <v>1760</v>
      </c>
      <c r="C14" s="77">
        <f t="shared" si="6"/>
        <v>8268</v>
      </c>
      <c r="D14" s="77">
        <f t="shared" si="6"/>
        <v>17000</v>
      </c>
      <c r="E14" s="77">
        <f t="shared" si="6"/>
        <v>2783</v>
      </c>
      <c r="F14" s="77">
        <f t="shared" si="6"/>
        <v>7150</v>
      </c>
      <c r="G14" s="77">
        <f t="shared" si="6"/>
        <v>4174</v>
      </c>
      <c r="H14" s="77">
        <f t="shared" si="6"/>
        <v>760</v>
      </c>
      <c r="I14" s="77">
        <f t="shared" si="6"/>
        <v>31759</v>
      </c>
      <c r="J14" s="77">
        <f>SUM(J12:J13)</f>
        <v>68</v>
      </c>
      <c r="K14" s="77">
        <f>SUM(K4:K13)</f>
        <v>5744</v>
      </c>
      <c r="L14" s="77">
        <f>SUM(L9:L13)</f>
        <v>0</v>
      </c>
      <c r="M14" s="77">
        <f t="shared" ref="M14:O14" si="7">SUM(M2:M13)</f>
        <v>1868</v>
      </c>
      <c r="N14" s="77">
        <f t="shared" si="7"/>
        <v>3600</v>
      </c>
      <c r="O14" s="77">
        <f t="shared" si="7"/>
        <v>2436</v>
      </c>
      <c r="P14" s="77">
        <f>SUM(P8:P13)</f>
        <v>1164</v>
      </c>
      <c r="Q14" s="77">
        <f t="shared" ref="Q14:W14" si="8">SUM(Q2:Q13)</f>
        <v>960</v>
      </c>
      <c r="R14" s="77">
        <f t="shared" si="8"/>
        <v>6360</v>
      </c>
      <c r="S14" s="77">
        <f t="shared" si="8"/>
        <v>2256</v>
      </c>
      <c r="T14" s="77">
        <f t="shared" si="8"/>
        <v>62167</v>
      </c>
      <c r="U14" s="77">
        <f t="shared" si="8"/>
        <v>40874</v>
      </c>
      <c r="V14" s="79">
        <f t="shared" si="8"/>
        <v>103041</v>
      </c>
      <c r="W14" s="79">
        <f t="shared" si="8"/>
        <v>89562</v>
      </c>
      <c r="X14" s="79">
        <f>(V14-W14)</f>
        <v>13479</v>
      </c>
      <c r="Y14" s="80">
        <f>H14+I14</f>
        <v>32519</v>
      </c>
    </row>
    <row r="19">
      <c r="F19" s="31"/>
    </row>
    <row r="20">
      <c r="S2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4" width="12.5"/>
    <col customWidth="1" min="5" max="6" width="11.75"/>
    <col customWidth="1" min="7" max="8" width="11.88"/>
    <col customWidth="1" min="9" max="10" width="12.25"/>
    <col customWidth="1" min="11" max="12" width="11.38"/>
    <col customWidth="1" min="13" max="14" width="12.5"/>
    <col customWidth="1" min="15" max="16" width="11.88"/>
    <col customWidth="1" min="17" max="18" width="12.0"/>
    <col customWidth="1" min="19" max="20" width="12.38"/>
    <col customWidth="1" min="21" max="22" width="12.88"/>
    <col customWidth="1" min="23" max="24" width="12.0"/>
    <col customWidth="1" min="25" max="26" width="12.13"/>
  </cols>
  <sheetData>
    <row r="1" ht="59.25" customHeight="1">
      <c r="A1" s="59" t="s">
        <v>56</v>
      </c>
      <c r="B1" s="60"/>
      <c r="C1" s="61">
        <f>SUM(C8-C9)</f>
        <v>1641</v>
      </c>
      <c r="D1" s="62"/>
      <c r="E1" s="61">
        <f>SUM(E8-E9)</f>
        <v>1176</v>
      </c>
      <c r="F1" s="62"/>
      <c r="G1" s="63">
        <f>SUM(G8-G9)</f>
        <v>1560</v>
      </c>
      <c r="H1" s="62"/>
      <c r="I1" s="61">
        <f>SUM(I8-I9)</f>
        <v>1614</v>
      </c>
      <c r="J1" s="62"/>
      <c r="K1" s="61">
        <f>SUM(K8-K9)</f>
        <v>814</v>
      </c>
      <c r="L1" s="62"/>
      <c r="M1" s="61">
        <f>SUM(M8-M9)</f>
        <v>2194</v>
      </c>
      <c r="N1" s="62"/>
      <c r="O1" s="61">
        <f>SUM(O8-O9)</f>
        <v>142</v>
      </c>
      <c r="P1" s="62"/>
      <c r="Q1" s="61">
        <f>SUM(Q8-Q9)</f>
        <v>90</v>
      </c>
      <c r="R1" s="62"/>
      <c r="S1" s="61">
        <f>SUM(S8-S9)</f>
        <v>-193</v>
      </c>
      <c r="T1" s="62"/>
      <c r="U1" s="61">
        <f>SUM(U8-U9)</f>
        <v>448</v>
      </c>
      <c r="V1" s="62"/>
      <c r="W1" s="61">
        <f>SUM(W8-W9)</f>
        <v>96</v>
      </c>
      <c r="X1" s="62"/>
      <c r="Y1" s="61">
        <f>SUM(Y8-Y9)</f>
        <v>-735</v>
      </c>
      <c r="Z1" s="62"/>
      <c r="AA1" s="64"/>
    </row>
    <row r="2">
      <c r="A2" s="65"/>
      <c r="B2" s="66"/>
      <c r="C2" s="67" t="s">
        <v>57</v>
      </c>
      <c r="D2" s="62"/>
      <c r="E2" s="67" t="s">
        <v>58</v>
      </c>
      <c r="F2" s="62"/>
      <c r="G2" s="68" t="s">
        <v>59</v>
      </c>
      <c r="H2" s="62"/>
      <c r="I2" s="67" t="s">
        <v>60</v>
      </c>
      <c r="J2" s="62"/>
      <c r="K2" s="67" t="s">
        <v>61</v>
      </c>
      <c r="L2" s="62"/>
      <c r="M2" s="67" t="s">
        <v>62</v>
      </c>
      <c r="N2" s="62"/>
      <c r="O2" s="67" t="s">
        <v>63</v>
      </c>
      <c r="P2" s="62"/>
      <c r="Q2" s="67" t="s">
        <v>64</v>
      </c>
      <c r="R2" s="62"/>
      <c r="S2" s="67" t="s">
        <v>65</v>
      </c>
      <c r="T2" s="62"/>
      <c r="U2" s="67" t="s">
        <v>66</v>
      </c>
      <c r="V2" s="62"/>
      <c r="W2" s="67" t="s">
        <v>67</v>
      </c>
      <c r="X2" s="62"/>
      <c r="Y2" s="67" t="s">
        <v>68</v>
      </c>
      <c r="Z2" s="62"/>
      <c r="AA2" s="69" t="s">
        <v>69</v>
      </c>
    </row>
    <row r="3">
      <c r="A3" s="70" t="s">
        <v>70</v>
      </c>
      <c r="B3" s="71" t="s">
        <v>71</v>
      </c>
      <c r="C3" s="72">
        <v>4333.0</v>
      </c>
      <c r="D3" s="62"/>
      <c r="E3" s="72">
        <v>6000.0</v>
      </c>
      <c r="F3" s="62"/>
      <c r="G3" s="72">
        <v>5880.0</v>
      </c>
      <c r="H3" s="62"/>
      <c r="I3" s="72">
        <v>5545.0</v>
      </c>
      <c r="J3" s="62"/>
      <c r="K3" s="72">
        <v>5545.0</v>
      </c>
      <c r="L3" s="62"/>
      <c r="M3" s="72">
        <v>5545.0</v>
      </c>
      <c r="N3" s="62"/>
      <c r="O3" s="72">
        <v>5555.0</v>
      </c>
      <c r="P3" s="62"/>
      <c r="Q3" s="72">
        <v>5555.0</v>
      </c>
      <c r="R3" s="62"/>
      <c r="S3" s="72">
        <v>5545.0</v>
      </c>
      <c r="T3" s="62"/>
      <c r="U3" s="72">
        <v>5555.0</v>
      </c>
      <c r="V3" s="62"/>
      <c r="W3" s="72">
        <v>5555.0</v>
      </c>
      <c r="X3" s="62"/>
      <c r="Y3" s="72">
        <v>6100.0</v>
      </c>
      <c r="Z3" s="62"/>
      <c r="AA3" s="73">
        <f t="shared" ref="AA3:AA27" si="1">SUM(C3:Y3)</f>
        <v>66713</v>
      </c>
    </row>
    <row r="4">
      <c r="A4" s="74"/>
      <c r="B4" s="71" t="s">
        <v>72</v>
      </c>
      <c r="C4" s="72">
        <v>4468.0</v>
      </c>
      <c r="D4" s="62"/>
      <c r="E4" s="72">
        <v>0.0</v>
      </c>
      <c r="F4" s="62"/>
      <c r="G4" s="72">
        <v>0.0</v>
      </c>
      <c r="H4" s="62"/>
      <c r="I4" s="72">
        <v>0.0</v>
      </c>
      <c r="J4" s="62"/>
      <c r="K4" s="72">
        <v>0.0</v>
      </c>
      <c r="L4" s="62"/>
      <c r="M4" s="72">
        <v>0.0</v>
      </c>
      <c r="N4" s="62"/>
      <c r="O4" s="72">
        <v>0.0</v>
      </c>
      <c r="P4" s="62"/>
      <c r="Q4" s="72">
        <v>0.0</v>
      </c>
      <c r="R4" s="62"/>
      <c r="S4" s="72">
        <v>0.0</v>
      </c>
      <c r="T4" s="62"/>
      <c r="U4" s="72">
        <v>0.0</v>
      </c>
      <c r="V4" s="62"/>
      <c r="W4" s="72">
        <v>0.0</v>
      </c>
      <c r="X4" s="62"/>
      <c r="Y4" s="72">
        <v>0.0</v>
      </c>
      <c r="Z4" s="62"/>
      <c r="AA4" s="73">
        <f t="shared" si="1"/>
        <v>4468</v>
      </c>
    </row>
    <row r="5">
      <c r="A5" s="74"/>
      <c r="B5" s="71" t="s">
        <v>73</v>
      </c>
      <c r="C5" s="72">
        <v>2500.0</v>
      </c>
      <c r="D5" s="62"/>
      <c r="E5" s="72">
        <v>0.0</v>
      </c>
      <c r="F5" s="62"/>
      <c r="G5" s="72">
        <v>0.0</v>
      </c>
      <c r="H5" s="62"/>
      <c r="I5" s="72">
        <v>0.0</v>
      </c>
      <c r="J5" s="62"/>
      <c r="K5" s="72">
        <v>0.0</v>
      </c>
      <c r="L5" s="62"/>
      <c r="M5" s="72">
        <v>0.0</v>
      </c>
      <c r="N5" s="62"/>
      <c r="O5" s="72">
        <v>0.0</v>
      </c>
      <c r="P5" s="62"/>
      <c r="Q5" s="72">
        <v>0.0</v>
      </c>
      <c r="R5" s="62"/>
      <c r="S5" s="72">
        <v>0.0</v>
      </c>
      <c r="T5" s="62"/>
      <c r="U5" s="72">
        <v>0.0</v>
      </c>
      <c r="V5" s="62"/>
      <c r="W5" s="72">
        <v>0.0</v>
      </c>
      <c r="X5" s="62"/>
      <c r="Y5" s="72">
        <v>0.0</v>
      </c>
      <c r="Z5" s="62"/>
      <c r="AA5" s="73">
        <f t="shared" si="1"/>
        <v>2500</v>
      </c>
    </row>
    <row r="6">
      <c r="A6" s="74"/>
      <c r="B6" s="71" t="s">
        <v>74</v>
      </c>
      <c r="C6" s="72">
        <v>0.0</v>
      </c>
      <c r="D6" s="62"/>
      <c r="E6" s="72">
        <v>3100.0</v>
      </c>
      <c r="F6" s="62"/>
      <c r="G6" s="72">
        <v>3100.0</v>
      </c>
      <c r="H6" s="62"/>
      <c r="I6" s="72">
        <v>3100.0</v>
      </c>
      <c r="J6" s="62"/>
      <c r="K6" s="72">
        <v>3100.0</v>
      </c>
      <c r="L6" s="62"/>
      <c r="M6" s="72">
        <v>3100.0</v>
      </c>
      <c r="N6" s="62"/>
      <c r="O6" s="72">
        <v>3100.0</v>
      </c>
      <c r="P6" s="62"/>
      <c r="Q6" s="72">
        <v>3100.0</v>
      </c>
      <c r="R6" s="62"/>
      <c r="S6" s="72">
        <v>3100.0</v>
      </c>
      <c r="T6" s="62"/>
      <c r="U6" s="72">
        <v>3100.0</v>
      </c>
      <c r="V6" s="62"/>
      <c r="W6" s="72">
        <v>3100.0</v>
      </c>
      <c r="X6" s="62"/>
      <c r="Y6" s="72">
        <v>3100.0</v>
      </c>
      <c r="Z6" s="62"/>
      <c r="AA6" s="73">
        <f t="shared" si="1"/>
        <v>34100</v>
      </c>
    </row>
    <row r="7">
      <c r="A7" s="78"/>
      <c r="B7" s="71" t="s">
        <v>75</v>
      </c>
      <c r="C7" s="72">
        <v>813.0</v>
      </c>
      <c r="D7" s="62"/>
      <c r="E7" s="72">
        <v>900.0</v>
      </c>
      <c r="F7" s="62"/>
      <c r="G7" s="72">
        <v>850.0</v>
      </c>
      <c r="H7" s="62"/>
      <c r="I7" s="72">
        <v>1311.0</v>
      </c>
      <c r="J7" s="62"/>
      <c r="K7" s="72">
        <v>486.0</v>
      </c>
      <c r="L7" s="62"/>
      <c r="M7" s="72">
        <v>1635.0</v>
      </c>
      <c r="N7" s="62"/>
      <c r="O7" s="72">
        <v>1010.0</v>
      </c>
      <c r="P7" s="62"/>
      <c r="Q7" s="72">
        <v>460.0</v>
      </c>
      <c r="R7" s="62"/>
      <c r="S7" s="72">
        <v>580.0</v>
      </c>
      <c r="T7" s="62"/>
      <c r="U7" s="72">
        <v>150.0</v>
      </c>
      <c r="V7" s="62"/>
      <c r="W7" s="72">
        <v>692.0</v>
      </c>
      <c r="X7" s="62"/>
      <c r="Y7" s="72">
        <v>960.0</v>
      </c>
      <c r="Z7" s="62"/>
      <c r="AA7" s="73">
        <f t="shared" si="1"/>
        <v>9847</v>
      </c>
    </row>
    <row r="8">
      <c r="A8" s="81" t="s">
        <v>55</v>
      </c>
      <c r="B8" s="62"/>
      <c r="C8" s="82">
        <f>SUM(C3:C7)</f>
        <v>12114</v>
      </c>
      <c r="D8" s="62"/>
      <c r="E8" s="82">
        <f>SUM(E3:E7)</f>
        <v>10000</v>
      </c>
      <c r="F8" s="62"/>
      <c r="G8" s="82">
        <f>SUM(G3:G7)</f>
        <v>9830</v>
      </c>
      <c r="H8" s="62"/>
      <c r="I8" s="82">
        <f>SUM(I3:I7)</f>
        <v>9956</v>
      </c>
      <c r="J8" s="62"/>
      <c r="K8" s="82">
        <f>SUM(K3:K7)</f>
        <v>9131</v>
      </c>
      <c r="L8" s="62"/>
      <c r="M8" s="82">
        <f>SUM(M3:M7)</f>
        <v>10280</v>
      </c>
      <c r="N8" s="62"/>
      <c r="O8" s="82">
        <f>SUM(O3:O7)</f>
        <v>9665</v>
      </c>
      <c r="P8" s="62"/>
      <c r="Q8" s="82">
        <f>SUM(Q3:Q7)</f>
        <v>9115</v>
      </c>
      <c r="R8" s="62"/>
      <c r="S8" s="82">
        <f>SUM(S3:S7)</f>
        <v>9225</v>
      </c>
      <c r="T8" s="62"/>
      <c r="U8" s="82">
        <f>SUM(U3:U7)</f>
        <v>8805</v>
      </c>
      <c r="V8" s="62"/>
      <c r="W8" s="82">
        <f>SUM(W3:W7)</f>
        <v>9347</v>
      </c>
      <c r="X8" s="62"/>
      <c r="Y8" s="82">
        <f>SUM(Y3:Y7)</f>
        <v>10160</v>
      </c>
      <c r="Z8" s="62"/>
      <c r="AA8" s="73">
        <f t="shared" si="1"/>
        <v>117628</v>
      </c>
    </row>
    <row r="9">
      <c r="A9" s="83" t="s">
        <v>76</v>
      </c>
      <c r="B9" s="84" t="s">
        <v>77</v>
      </c>
      <c r="C9" s="85">
        <f>SUM(C10:C29)</f>
        <v>10473</v>
      </c>
      <c r="D9" s="62"/>
      <c r="E9" s="85">
        <f>SUM(E10:E29)</f>
        <v>8824</v>
      </c>
      <c r="F9" s="62"/>
      <c r="G9" s="85">
        <f>SUM(G10:G29)</f>
        <v>8270</v>
      </c>
      <c r="H9" s="62"/>
      <c r="I9" s="85">
        <f>SUM(I10:I28)</f>
        <v>8342</v>
      </c>
      <c r="J9" s="62"/>
      <c r="K9" s="85">
        <f>SUM(K10:K28)</f>
        <v>8317</v>
      </c>
      <c r="L9" s="62"/>
      <c r="M9" s="85">
        <f>SUM(M10:M29)</f>
        <v>8086</v>
      </c>
      <c r="N9" s="62"/>
      <c r="O9" s="85">
        <f>SUM(O10:O31)</f>
        <v>9523</v>
      </c>
      <c r="P9" s="62"/>
      <c r="Q9" s="85">
        <f>SUM(Q10:Q31)</f>
        <v>9025</v>
      </c>
      <c r="R9" s="62"/>
      <c r="S9" s="85">
        <f>SUM(S10:S31)</f>
        <v>9418</v>
      </c>
      <c r="T9" s="62"/>
      <c r="U9" s="85">
        <f>SUM(U10:U31)</f>
        <v>8357</v>
      </c>
      <c r="V9" s="62"/>
      <c r="W9" s="85">
        <f>SUM(W10:W32)</f>
        <v>9251</v>
      </c>
      <c r="X9" s="62"/>
      <c r="Y9" s="85">
        <f>SUM(Y10:Y32)</f>
        <v>10895</v>
      </c>
      <c r="Z9" s="62"/>
      <c r="AA9" s="86">
        <f t="shared" si="1"/>
        <v>108781</v>
      </c>
      <c r="AB9" s="62"/>
    </row>
    <row r="10">
      <c r="A10" s="87" t="s">
        <v>78</v>
      </c>
      <c r="B10" s="88" t="s">
        <v>2</v>
      </c>
      <c r="C10" s="89">
        <v>0.0</v>
      </c>
      <c r="D10" s="90">
        <f>SUM(C10:C12)</f>
        <v>1549</v>
      </c>
      <c r="E10" s="89">
        <v>0.0</v>
      </c>
      <c r="F10" s="90">
        <f>SUM(E10:E12)</f>
        <v>1150</v>
      </c>
      <c r="G10" s="89">
        <v>0.0</v>
      </c>
      <c r="H10" s="90">
        <f>SUM(G10:G12)</f>
        <v>1150</v>
      </c>
      <c r="I10" s="89">
        <v>0.0</v>
      </c>
      <c r="J10" s="90">
        <f>SUM(I10:I12)</f>
        <v>1150</v>
      </c>
      <c r="K10" s="89">
        <v>0.0</v>
      </c>
      <c r="L10" s="90">
        <f>SUM(K10:K12)</f>
        <v>1150</v>
      </c>
      <c r="M10" s="89">
        <v>0.0</v>
      </c>
      <c r="N10" s="90">
        <f>SUM(M10:M12)</f>
        <v>1150</v>
      </c>
      <c r="O10" s="89">
        <v>0.0</v>
      </c>
      <c r="P10" s="90">
        <f>SUM(O10:O12)</f>
        <v>1150</v>
      </c>
      <c r="Q10" s="89">
        <v>0.0</v>
      </c>
      <c r="R10" s="90">
        <f>SUM(Q10:Q12)</f>
        <v>1150</v>
      </c>
      <c r="S10" s="89">
        <v>0.0</v>
      </c>
      <c r="T10" s="90">
        <f>SUM(S10:S12)</f>
        <v>1150</v>
      </c>
      <c r="U10" s="89">
        <v>0.0</v>
      </c>
      <c r="V10" s="90">
        <f>SUM(U10:U12)</f>
        <v>1150</v>
      </c>
      <c r="W10" s="89">
        <v>0.0</v>
      </c>
      <c r="X10" s="90">
        <f>SUM(W10:W12)</f>
        <v>1150</v>
      </c>
      <c r="Y10" s="89">
        <v>0.0</v>
      </c>
      <c r="Z10" s="90">
        <f>SUM(Y10:Y12)</f>
        <v>1150</v>
      </c>
      <c r="AA10" s="73">
        <f t="shared" si="1"/>
        <v>13049</v>
      </c>
    </row>
    <row r="11">
      <c r="A11" s="74"/>
      <c r="B11" s="88" t="s">
        <v>79</v>
      </c>
      <c r="C11" s="89">
        <v>1149.0</v>
      </c>
      <c r="D11" s="74"/>
      <c r="E11" s="89">
        <v>1150.0</v>
      </c>
      <c r="F11" s="74"/>
      <c r="G11" s="89">
        <v>1150.0</v>
      </c>
      <c r="H11" s="74"/>
      <c r="I11" s="89">
        <v>1150.0</v>
      </c>
      <c r="J11" s="74"/>
      <c r="K11" s="89">
        <v>1150.0</v>
      </c>
      <c r="L11" s="74"/>
      <c r="M11" s="89">
        <v>1150.0</v>
      </c>
      <c r="N11" s="74"/>
      <c r="O11" s="89">
        <v>1150.0</v>
      </c>
      <c r="P11" s="74"/>
      <c r="Q11" s="89">
        <v>1150.0</v>
      </c>
      <c r="R11" s="74"/>
      <c r="S11" s="89">
        <v>1150.0</v>
      </c>
      <c r="T11" s="74"/>
      <c r="U11" s="89">
        <v>1150.0</v>
      </c>
      <c r="V11" s="74"/>
      <c r="W11" s="89">
        <v>1150.0</v>
      </c>
      <c r="X11" s="74"/>
      <c r="Y11" s="89">
        <v>1150.0</v>
      </c>
      <c r="Z11" s="74"/>
      <c r="AA11" s="73">
        <f t="shared" si="1"/>
        <v>13799</v>
      </c>
    </row>
    <row r="12">
      <c r="A12" s="78"/>
      <c r="B12" s="88" t="s">
        <v>52</v>
      </c>
      <c r="C12" s="89">
        <v>400.0</v>
      </c>
      <c r="D12" s="78"/>
      <c r="E12" s="89">
        <v>0.0</v>
      </c>
      <c r="F12" s="78"/>
      <c r="G12" s="89">
        <v>0.0</v>
      </c>
      <c r="H12" s="78"/>
      <c r="I12" s="89">
        <v>0.0</v>
      </c>
      <c r="J12" s="78"/>
      <c r="K12" s="89">
        <v>0.0</v>
      </c>
      <c r="L12" s="78"/>
      <c r="M12" s="89">
        <v>0.0</v>
      </c>
      <c r="N12" s="78"/>
      <c r="O12" s="89">
        <v>0.0</v>
      </c>
      <c r="P12" s="78"/>
      <c r="Q12" s="89">
        <v>0.0</v>
      </c>
      <c r="R12" s="78"/>
      <c r="S12" s="89">
        <v>0.0</v>
      </c>
      <c r="T12" s="78"/>
      <c r="U12" s="89">
        <v>0.0</v>
      </c>
      <c r="V12" s="78"/>
      <c r="W12" s="89">
        <v>0.0</v>
      </c>
      <c r="X12" s="78"/>
      <c r="Y12" s="89">
        <v>0.0</v>
      </c>
      <c r="Z12" s="78"/>
      <c r="AA12" s="73">
        <f t="shared" si="1"/>
        <v>400</v>
      </c>
    </row>
    <row r="13">
      <c r="A13" s="93" t="s">
        <v>80</v>
      </c>
      <c r="B13" s="94" t="s">
        <v>6</v>
      </c>
      <c r="C13" s="89">
        <v>2998.0</v>
      </c>
      <c r="D13" s="96">
        <f>SUM(C13:C15)</f>
        <v>5210</v>
      </c>
      <c r="E13" s="89">
        <v>2569.0</v>
      </c>
      <c r="F13" s="96">
        <f>SUM(E13:E15)</f>
        <v>4783</v>
      </c>
      <c r="G13" s="89">
        <v>3852.0</v>
      </c>
      <c r="H13" s="96">
        <f>SUM(G13:G15)</f>
        <v>5532</v>
      </c>
      <c r="I13" s="89">
        <v>3254.0</v>
      </c>
      <c r="J13" s="96">
        <f>SUM(I13:I15)</f>
        <v>4874</v>
      </c>
      <c r="K13" s="89">
        <v>2714.0</v>
      </c>
      <c r="L13" s="96">
        <f>SUM(K13:K15)</f>
        <v>4589</v>
      </c>
      <c r="M13" s="89">
        <v>2320.0</v>
      </c>
      <c r="N13" s="96">
        <f>SUM(M13:M15)</f>
        <v>5313</v>
      </c>
      <c r="O13" s="89">
        <v>2804.0</v>
      </c>
      <c r="P13" s="96">
        <f>SUM(O13:O15)</f>
        <v>5240</v>
      </c>
      <c r="Q13" s="89">
        <v>3214.0</v>
      </c>
      <c r="R13" s="96">
        <f>SUM(Q13:Q15)</f>
        <v>5731</v>
      </c>
      <c r="S13" s="89">
        <v>4628.0</v>
      </c>
      <c r="T13" s="96">
        <f>SUM(S13:S15)</f>
        <v>6824</v>
      </c>
      <c r="U13" s="89">
        <v>2963.0</v>
      </c>
      <c r="V13" s="96">
        <f>SUM(U13:U15)</f>
        <v>6471</v>
      </c>
      <c r="W13" s="89">
        <v>3576.0</v>
      </c>
      <c r="X13" s="96">
        <f>SUM(W13:W15)</f>
        <v>6315</v>
      </c>
      <c r="Y13" s="89">
        <v>2702.0</v>
      </c>
      <c r="Z13" s="96">
        <f>SUM(Y13:Y15)</f>
        <v>5065</v>
      </c>
      <c r="AA13" s="73">
        <f t="shared" si="1"/>
        <v>98476</v>
      </c>
    </row>
    <row r="14">
      <c r="A14" s="78"/>
      <c r="B14" s="94" t="s">
        <v>81</v>
      </c>
      <c r="C14" s="89">
        <v>1412.0</v>
      </c>
      <c r="D14" s="74"/>
      <c r="E14" s="89">
        <v>1565.0</v>
      </c>
      <c r="F14" s="74"/>
      <c r="G14" s="89">
        <v>1080.0</v>
      </c>
      <c r="H14" s="74"/>
      <c r="I14" s="89">
        <v>720.0</v>
      </c>
      <c r="J14" s="74"/>
      <c r="K14" s="89">
        <v>400.0</v>
      </c>
      <c r="L14" s="74"/>
      <c r="M14" s="89">
        <v>293.0</v>
      </c>
      <c r="N14" s="74"/>
      <c r="O14" s="89">
        <v>293.0</v>
      </c>
      <c r="P14" s="74"/>
      <c r="Q14" s="89">
        <v>293.0</v>
      </c>
      <c r="R14" s="74"/>
      <c r="S14" s="89">
        <v>293.0</v>
      </c>
      <c r="T14" s="74"/>
      <c r="U14" s="89">
        <v>43.0</v>
      </c>
      <c r="V14" s="74"/>
      <c r="W14" s="89">
        <v>0.0</v>
      </c>
      <c r="X14" s="74"/>
      <c r="Y14" s="89">
        <v>0.0</v>
      </c>
      <c r="Z14" s="74"/>
      <c r="AA14" s="73">
        <f t="shared" si="1"/>
        <v>6392</v>
      </c>
      <c r="AB14" s="31">
        <v>693.0</v>
      </c>
    </row>
    <row r="15">
      <c r="A15" s="98"/>
      <c r="B15" s="94" t="s">
        <v>82</v>
      </c>
      <c r="C15" s="89">
        <v>800.0</v>
      </c>
      <c r="D15" s="78"/>
      <c r="E15" s="89">
        <v>649.0</v>
      </c>
      <c r="F15" s="78"/>
      <c r="G15" s="89">
        <v>600.0</v>
      </c>
      <c r="H15" s="78"/>
      <c r="I15" s="89">
        <v>900.0</v>
      </c>
      <c r="J15" s="78"/>
      <c r="K15" s="89">
        <v>1475.0</v>
      </c>
      <c r="L15" s="78"/>
      <c r="M15" s="89">
        <v>2700.0</v>
      </c>
      <c r="N15" s="78"/>
      <c r="O15" s="89">
        <v>2143.0</v>
      </c>
      <c r="P15" s="78"/>
      <c r="Q15" s="89">
        <v>2224.0</v>
      </c>
      <c r="R15" s="78"/>
      <c r="S15" s="89">
        <v>1903.0</v>
      </c>
      <c r="T15" s="78"/>
      <c r="U15" s="89">
        <v>3465.0</v>
      </c>
      <c r="V15" s="78"/>
      <c r="W15" s="89">
        <v>2739.0</v>
      </c>
      <c r="X15" s="78"/>
      <c r="Y15" s="89">
        <v>2363.0</v>
      </c>
      <c r="Z15" s="78"/>
      <c r="AA15" s="73">
        <f t="shared" si="1"/>
        <v>21961</v>
      </c>
      <c r="AB15" s="31">
        <v>344.0</v>
      </c>
    </row>
    <row r="16">
      <c r="A16" s="99" t="s">
        <v>83</v>
      </c>
      <c r="B16" s="100" t="s">
        <v>4</v>
      </c>
      <c r="C16" s="89">
        <v>280.0</v>
      </c>
      <c r="D16" s="101">
        <f>SUM(C16:C18)</f>
        <v>510</v>
      </c>
      <c r="E16" s="89">
        <v>230.0</v>
      </c>
      <c r="F16" s="101">
        <f>SUM(E16:E18)</f>
        <v>310</v>
      </c>
      <c r="G16" s="89">
        <v>280.0</v>
      </c>
      <c r="H16" s="101">
        <f>SUM(G16:G18)</f>
        <v>360</v>
      </c>
      <c r="I16" s="89">
        <v>220.0</v>
      </c>
      <c r="J16" s="101">
        <f>SUM(I16:I18)</f>
        <v>300</v>
      </c>
      <c r="K16" s="89">
        <v>280.0</v>
      </c>
      <c r="L16" s="101">
        <f>SUM(K16:K18)</f>
        <v>360</v>
      </c>
      <c r="M16" s="89">
        <v>125.0</v>
      </c>
      <c r="N16" s="101">
        <f>SUM(M16:M18)</f>
        <v>205</v>
      </c>
      <c r="O16" s="89">
        <v>257.0</v>
      </c>
      <c r="P16" s="101">
        <f>SUM(O16:O18)</f>
        <v>337</v>
      </c>
      <c r="Q16" s="89">
        <v>200.0</v>
      </c>
      <c r="R16" s="101">
        <f>SUM(Q16:Q18)</f>
        <v>280</v>
      </c>
      <c r="S16" s="89">
        <v>200.0</v>
      </c>
      <c r="T16" s="101">
        <f>SUM(S16:S18)</f>
        <v>280</v>
      </c>
      <c r="U16" s="89">
        <v>420.0</v>
      </c>
      <c r="V16" s="101">
        <f>SUM(U16:U18)</f>
        <v>500</v>
      </c>
      <c r="W16" s="89">
        <v>0.0</v>
      </c>
      <c r="X16" s="101">
        <f>SUM(W16:W18)</f>
        <v>80</v>
      </c>
      <c r="Y16" s="89">
        <v>200.0</v>
      </c>
      <c r="Z16" s="101">
        <f>SUM(Y16:Y18)</f>
        <v>280</v>
      </c>
      <c r="AA16" s="73">
        <f t="shared" si="1"/>
        <v>6214</v>
      </c>
      <c r="AB16" s="31">
        <v>180.0</v>
      </c>
    </row>
    <row r="17">
      <c r="A17" s="74"/>
      <c r="B17" s="100" t="s">
        <v>84</v>
      </c>
      <c r="C17" s="89">
        <v>150.0</v>
      </c>
      <c r="D17" s="74"/>
      <c r="E17" s="89">
        <v>0.0</v>
      </c>
      <c r="F17" s="74"/>
      <c r="G17" s="89">
        <v>0.0</v>
      </c>
      <c r="H17" s="74"/>
      <c r="I17" s="89">
        <v>0.0</v>
      </c>
      <c r="J17" s="74"/>
      <c r="K17" s="89">
        <v>0.0</v>
      </c>
      <c r="L17" s="74"/>
      <c r="M17" s="89">
        <v>0.0</v>
      </c>
      <c r="N17" s="74"/>
      <c r="O17" s="89">
        <v>0.0</v>
      </c>
      <c r="P17" s="74"/>
      <c r="Q17" s="89">
        <v>0.0</v>
      </c>
      <c r="R17" s="74"/>
      <c r="S17" s="89">
        <v>0.0</v>
      </c>
      <c r="T17" s="74"/>
      <c r="U17" s="89">
        <v>0.0</v>
      </c>
      <c r="V17" s="74"/>
      <c r="W17" s="89">
        <v>0.0</v>
      </c>
      <c r="X17" s="74"/>
      <c r="Y17" s="89">
        <v>0.0</v>
      </c>
      <c r="Z17" s="74"/>
      <c r="AA17" s="73">
        <f t="shared" si="1"/>
        <v>150</v>
      </c>
      <c r="AB17" s="102">
        <f>SUM(AB14:AB16)</f>
        <v>1217</v>
      </c>
    </row>
    <row r="18">
      <c r="A18" s="78"/>
      <c r="B18" s="100" t="s">
        <v>12</v>
      </c>
      <c r="C18" s="89">
        <v>80.0</v>
      </c>
      <c r="D18" s="78"/>
      <c r="E18" s="89">
        <v>80.0</v>
      </c>
      <c r="F18" s="78"/>
      <c r="G18" s="89">
        <v>80.0</v>
      </c>
      <c r="H18" s="78"/>
      <c r="I18" s="89">
        <v>80.0</v>
      </c>
      <c r="J18" s="78"/>
      <c r="K18" s="89">
        <v>80.0</v>
      </c>
      <c r="L18" s="78"/>
      <c r="M18" s="89">
        <v>80.0</v>
      </c>
      <c r="N18" s="78"/>
      <c r="O18" s="89">
        <v>80.0</v>
      </c>
      <c r="P18" s="78"/>
      <c r="Q18" s="89">
        <v>80.0</v>
      </c>
      <c r="R18" s="78"/>
      <c r="S18" s="89">
        <v>80.0</v>
      </c>
      <c r="T18" s="78"/>
      <c r="U18" s="89">
        <v>80.0</v>
      </c>
      <c r="V18" s="78"/>
      <c r="W18" s="89">
        <v>80.0</v>
      </c>
      <c r="X18" s="78"/>
      <c r="Y18" s="89">
        <v>80.0</v>
      </c>
      <c r="Z18" s="78"/>
      <c r="AA18" s="73">
        <f t="shared" si="1"/>
        <v>960</v>
      </c>
    </row>
    <row r="19">
      <c r="A19" s="105" t="s">
        <v>86</v>
      </c>
      <c r="B19" s="106" t="s">
        <v>53</v>
      </c>
      <c r="C19" s="89">
        <v>194.0</v>
      </c>
      <c r="D19" s="107">
        <f>SUM(C19:C20)</f>
        <v>430</v>
      </c>
      <c r="E19" s="89">
        <v>194.0</v>
      </c>
      <c r="F19" s="107">
        <f>SUM(E19:E20)</f>
        <v>430</v>
      </c>
      <c r="G19" s="89">
        <v>194.0</v>
      </c>
      <c r="H19" s="107">
        <f>SUM(G19:G20)</f>
        <v>430</v>
      </c>
      <c r="I19" s="89">
        <v>194.0</v>
      </c>
      <c r="J19" s="107">
        <f>SUM(I19:I20)</f>
        <v>430</v>
      </c>
      <c r="K19" s="89">
        <v>194.0</v>
      </c>
      <c r="L19" s="107">
        <f>SUM(K19:K20)</f>
        <v>430</v>
      </c>
      <c r="M19" s="89">
        <v>194.0</v>
      </c>
      <c r="N19" s="107">
        <f>SUM(M19:M20)</f>
        <v>430</v>
      </c>
      <c r="O19" s="89">
        <v>194.0</v>
      </c>
      <c r="P19" s="107">
        <f>SUM(O19:O20)</f>
        <v>430</v>
      </c>
      <c r="Q19" s="89">
        <v>194.0</v>
      </c>
      <c r="R19" s="107">
        <f>SUM(Q19:Q20)</f>
        <v>430</v>
      </c>
      <c r="S19" s="89">
        <v>194.0</v>
      </c>
      <c r="T19" s="107">
        <f>SUM(S19:S20)</f>
        <v>430</v>
      </c>
      <c r="U19" s="89">
        <v>0.0</v>
      </c>
      <c r="V19" s="107">
        <f>SUM(U19:U20)</f>
        <v>236</v>
      </c>
      <c r="W19" s="89">
        <v>0.0</v>
      </c>
      <c r="X19" s="107">
        <f>SUM(W19:W20)</f>
        <v>236</v>
      </c>
      <c r="Y19" s="89">
        <v>0.0</v>
      </c>
      <c r="Z19" s="107">
        <f>SUM(Y19:Y20)</f>
        <v>900</v>
      </c>
      <c r="AA19" s="73">
        <f t="shared" si="1"/>
        <v>6088</v>
      </c>
    </row>
    <row r="20">
      <c r="A20" s="78"/>
      <c r="B20" s="106" t="s">
        <v>89</v>
      </c>
      <c r="C20" s="89">
        <v>236.0</v>
      </c>
      <c r="D20" s="78"/>
      <c r="E20" s="89">
        <v>236.0</v>
      </c>
      <c r="F20" s="78"/>
      <c r="G20" s="89">
        <v>236.0</v>
      </c>
      <c r="H20" s="78"/>
      <c r="I20" s="89">
        <v>236.0</v>
      </c>
      <c r="J20" s="78"/>
      <c r="K20" s="89">
        <v>236.0</v>
      </c>
      <c r="L20" s="78"/>
      <c r="M20" s="89">
        <v>236.0</v>
      </c>
      <c r="N20" s="78"/>
      <c r="O20" s="89">
        <v>236.0</v>
      </c>
      <c r="P20" s="78"/>
      <c r="Q20" s="89">
        <v>236.0</v>
      </c>
      <c r="R20" s="78"/>
      <c r="S20" s="89">
        <v>236.0</v>
      </c>
      <c r="T20" s="78"/>
      <c r="U20" s="89">
        <v>236.0</v>
      </c>
      <c r="V20" s="78"/>
      <c r="W20" s="89">
        <v>236.0</v>
      </c>
      <c r="X20" s="78"/>
      <c r="Y20" s="89">
        <v>900.0</v>
      </c>
      <c r="Z20" s="78"/>
      <c r="AA20" s="73">
        <f t="shared" si="1"/>
        <v>3496</v>
      </c>
    </row>
    <row r="21">
      <c r="A21" s="103" t="s">
        <v>85</v>
      </c>
      <c r="B21" s="103" t="s">
        <v>82</v>
      </c>
      <c r="C21" s="89">
        <v>0.0</v>
      </c>
      <c r="D21" s="104">
        <f>SUM(C21)</f>
        <v>0</v>
      </c>
      <c r="E21" s="89">
        <v>0.0</v>
      </c>
      <c r="F21" s="104">
        <f>SUM(E21)</f>
        <v>0</v>
      </c>
      <c r="G21" s="89">
        <v>0.0</v>
      </c>
      <c r="H21" s="104">
        <f>SUM(G21)</f>
        <v>0</v>
      </c>
      <c r="I21" s="89">
        <v>0.0</v>
      </c>
      <c r="J21" s="104">
        <f>SUM(I21)</f>
        <v>0</v>
      </c>
      <c r="K21" s="89">
        <v>0.0</v>
      </c>
      <c r="L21" s="104">
        <f>SUM(K21)</f>
        <v>0</v>
      </c>
      <c r="M21" s="89">
        <v>0.0</v>
      </c>
      <c r="N21" s="104">
        <f>SUM(M21)</f>
        <v>0</v>
      </c>
      <c r="O21" s="89">
        <v>1000.0</v>
      </c>
      <c r="P21" s="104">
        <f>SUM(O21)</f>
        <v>1000</v>
      </c>
      <c r="Q21" s="89">
        <v>700.0</v>
      </c>
      <c r="R21" s="104">
        <f>SUM(Q21)</f>
        <v>700</v>
      </c>
      <c r="S21" s="89">
        <v>0.0</v>
      </c>
      <c r="T21" s="104">
        <f>SUM(S21)</f>
        <v>0</v>
      </c>
      <c r="U21" s="89">
        <v>0.0</v>
      </c>
      <c r="V21" s="104">
        <f>SUM(U21)</f>
        <v>0</v>
      </c>
      <c r="W21" s="89">
        <v>0.0</v>
      </c>
      <c r="X21" s="104">
        <f>SUM(W21)</f>
        <v>0</v>
      </c>
      <c r="Y21" s="89">
        <v>0.0</v>
      </c>
      <c r="Z21" s="104">
        <f>SUM(Y21)</f>
        <v>0</v>
      </c>
      <c r="AA21" s="73">
        <f t="shared" si="1"/>
        <v>3400</v>
      </c>
    </row>
    <row r="22">
      <c r="A22" s="108" t="s">
        <v>87</v>
      </c>
      <c r="B22" s="109" t="s">
        <v>88</v>
      </c>
      <c r="C22" s="89">
        <v>0.0</v>
      </c>
      <c r="D22" s="110">
        <f>SUM(C22:C23)</f>
        <v>0</v>
      </c>
      <c r="E22" s="89">
        <v>0.0</v>
      </c>
      <c r="F22" s="110">
        <f>SUM(E22:E23)</f>
        <v>0</v>
      </c>
      <c r="G22" s="89">
        <v>0.0</v>
      </c>
      <c r="H22" s="110">
        <f>SUM(G22:G23)</f>
        <v>0</v>
      </c>
      <c r="I22" s="89">
        <v>0.0</v>
      </c>
      <c r="J22" s="110">
        <f>SUM(I22:I23)</f>
        <v>0</v>
      </c>
      <c r="K22" s="89">
        <v>0.0</v>
      </c>
      <c r="L22" s="110">
        <f>SUM(K22:K23)</f>
        <v>0</v>
      </c>
      <c r="M22" s="89">
        <v>0.0</v>
      </c>
      <c r="N22" s="110">
        <f>SUM(M22:M23)</f>
        <v>0</v>
      </c>
      <c r="O22" s="89">
        <v>0.0</v>
      </c>
      <c r="P22" s="110">
        <f>SUM(O22:O23)</f>
        <v>0</v>
      </c>
      <c r="Q22" s="89">
        <v>0.0</v>
      </c>
      <c r="R22" s="110">
        <f>SUM(Q22:Q23)</f>
        <v>0</v>
      </c>
      <c r="S22" s="89">
        <v>0.0</v>
      </c>
      <c r="T22" s="110">
        <f>SUM(S22:S23)</f>
        <v>0</v>
      </c>
      <c r="U22" s="89">
        <v>0.0</v>
      </c>
      <c r="V22" s="110">
        <f>SUM(U22:U23)</f>
        <v>0</v>
      </c>
      <c r="W22" s="89">
        <v>0.0</v>
      </c>
      <c r="X22" s="110">
        <f>SUM(W22:W23)</f>
        <v>0</v>
      </c>
      <c r="Y22" s="89">
        <v>0.0</v>
      </c>
      <c r="Z22" s="110">
        <f>SUM(Y22:Y23)</f>
        <v>0</v>
      </c>
      <c r="AA22" s="73">
        <f t="shared" si="1"/>
        <v>0</v>
      </c>
    </row>
    <row r="23">
      <c r="A23" s="78"/>
      <c r="B23" s="109" t="s">
        <v>90</v>
      </c>
      <c r="C23" s="89">
        <v>0.0</v>
      </c>
      <c r="D23" s="78"/>
      <c r="E23" s="89">
        <v>0.0</v>
      </c>
      <c r="F23" s="78"/>
      <c r="G23" s="89">
        <v>0.0</v>
      </c>
      <c r="H23" s="78"/>
      <c r="I23" s="89">
        <v>0.0</v>
      </c>
      <c r="J23" s="78"/>
      <c r="K23" s="89">
        <v>0.0</v>
      </c>
      <c r="L23" s="78"/>
      <c r="M23" s="89">
        <v>0.0</v>
      </c>
      <c r="N23" s="78"/>
      <c r="O23" s="89">
        <v>0.0</v>
      </c>
      <c r="P23" s="78"/>
      <c r="Q23" s="89">
        <v>0.0</v>
      </c>
      <c r="R23" s="78"/>
      <c r="S23" s="89">
        <v>0.0</v>
      </c>
      <c r="T23" s="78"/>
      <c r="U23" s="89">
        <v>0.0</v>
      </c>
      <c r="V23" s="78"/>
      <c r="W23" s="89">
        <v>0.0</v>
      </c>
      <c r="X23" s="78"/>
      <c r="Y23" s="89">
        <v>0.0</v>
      </c>
      <c r="Z23" s="78"/>
      <c r="AA23" s="73">
        <f t="shared" si="1"/>
        <v>0</v>
      </c>
    </row>
    <row r="24">
      <c r="A24" s="111" t="s">
        <v>91</v>
      </c>
      <c r="B24" s="112" t="s">
        <v>42</v>
      </c>
      <c r="C24" s="89">
        <v>435.0</v>
      </c>
      <c r="D24" s="113">
        <f t="shared" ref="D24:D25" si="2">SUM(C24)</f>
        <v>435</v>
      </c>
      <c r="E24" s="89">
        <v>492.0</v>
      </c>
      <c r="F24" s="113">
        <f t="shared" ref="F24:F25" si="3">SUM(E24)</f>
        <v>492</v>
      </c>
      <c r="G24" s="89">
        <v>440.0</v>
      </c>
      <c r="H24" s="113">
        <f t="shared" ref="H24:H25" si="4">SUM(G24)</f>
        <v>440</v>
      </c>
      <c r="I24" s="89">
        <v>440.0</v>
      </c>
      <c r="J24" s="113">
        <f t="shared" ref="J24:J25" si="5">SUM(I24)</f>
        <v>440</v>
      </c>
      <c r="K24" s="89">
        <v>440.0</v>
      </c>
      <c r="L24" s="113">
        <f t="shared" ref="L24:L25" si="6">SUM(K24)</f>
        <v>440</v>
      </c>
      <c r="M24" s="89">
        <v>440.0</v>
      </c>
      <c r="N24" s="113">
        <f t="shared" ref="N24:N25" si="7">SUM(M24)</f>
        <v>440</v>
      </c>
      <c r="O24" s="89">
        <v>440.0</v>
      </c>
      <c r="P24" s="113">
        <f t="shared" ref="P24:P25" si="8">SUM(O24)</f>
        <v>440</v>
      </c>
      <c r="Q24" s="89">
        <v>440.0</v>
      </c>
      <c r="R24" s="113">
        <f t="shared" ref="R24:R25" si="9">SUM(Q24)</f>
        <v>440</v>
      </c>
      <c r="S24" s="89">
        <v>440.0</v>
      </c>
      <c r="T24" s="113">
        <f t="shared" ref="T24:T25" si="10">SUM(S24)</f>
        <v>440</v>
      </c>
      <c r="U24" s="89">
        <v>0.0</v>
      </c>
      <c r="V24" s="113">
        <f t="shared" ref="V24:V25" si="11">SUM(U24)</f>
        <v>0</v>
      </c>
      <c r="W24" s="89">
        <v>470.0</v>
      </c>
      <c r="X24" s="113">
        <f t="shared" ref="X24:X32" si="12">SUM(W24)</f>
        <v>470</v>
      </c>
      <c r="Y24" s="89">
        <v>500.0</v>
      </c>
      <c r="Z24" s="113">
        <f t="shared" ref="Z24:Z32" si="13">SUM(Y24)</f>
        <v>500</v>
      </c>
      <c r="AA24" s="73">
        <f t="shared" si="1"/>
        <v>9454</v>
      </c>
    </row>
    <row r="25">
      <c r="A25" s="114" t="s">
        <v>92</v>
      </c>
      <c r="B25" s="115" t="s">
        <v>93</v>
      </c>
      <c r="C25" s="89">
        <v>68.0</v>
      </c>
      <c r="D25" s="116">
        <f t="shared" si="2"/>
        <v>68</v>
      </c>
      <c r="E25" s="89">
        <v>68.0</v>
      </c>
      <c r="F25" s="116">
        <f t="shared" si="3"/>
        <v>68</v>
      </c>
      <c r="G25" s="89">
        <v>68.0</v>
      </c>
      <c r="H25" s="116">
        <f t="shared" si="4"/>
        <v>68</v>
      </c>
      <c r="I25" s="89">
        <v>68.0</v>
      </c>
      <c r="J25" s="116">
        <f t="shared" si="5"/>
        <v>68</v>
      </c>
      <c r="K25" s="89">
        <v>68.0</v>
      </c>
      <c r="L25" s="116">
        <f t="shared" si="6"/>
        <v>68</v>
      </c>
      <c r="M25" s="89">
        <v>68.0</v>
      </c>
      <c r="N25" s="116">
        <f t="shared" si="7"/>
        <v>68</v>
      </c>
      <c r="O25" s="89">
        <v>0.0</v>
      </c>
      <c r="P25" s="116">
        <f t="shared" si="8"/>
        <v>0</v>
      </c>
      <c r="Q25" s="89">
        <v>68.0</v>
      </c>
      <c r="R25" s="116">
        <f t="shared" si="9"/>
        <v>68</v>
      </c>
      <c r="S25" s="89">
        <v>68.0</v>
      </c>
      <c r="T25" s="116">
        <f t="shared" si="10"/>
        <v>68</v>
      </c>
      <c r="U25" s="89">
        <v>0.0</v>
      </c>
      <c r="V25" s="116">
        <f t="shared" si="11"/>
        <v>0</v>
      </c>
      <c r="W25" s="89">
        <v>0.0</v>
      </c>
      <c r="X25" s="113">
        <f t="shared" si="12"/>
        <v>0</v>
      </c>
      <c r="Y25" s="89">
        <v>0.0</v>
      </c>
      <c r="Z25" s="113">
        <f t="shared" si="13"/>
        <v>0</v>
      </c>
      <c r="AA25" s="73">
        <f t="shared" si="1"/>
        <v>1088</v>
      </c>
    </row>
    <row r="26">
      <c r="A26" s="117" t="s">
        <v>94</v>
      </c>
      <c r="B26" s="118" t="s">
        <v>96</v>
      </c>
      <c r="C26" s="89">
        <v>0.0</v>
      </c>
      <c r="D26" s="119">
        <f>SUM(C26:C29)</f>
        <v>2271</v>
      </c>
      <c r="E26" s="89">
        <v>0.0</v>
      </c>
      <c r="F26" s="119">
        <f>SUM(E26:E28)</f>
        <v>1051</v>
      </c>
      <c r="G26" s="89">
        <v>236.0</v>
      </c>
      <c r="H26" s="119">
        <f>SUM(G26:G27)</f>
        <v>236</v>
      </c>
      <c r="I26" s="89">
        <v>226.0</v>
      </c>
      <c r="J26" s="119">
        <f>SUM(I26:I27)</f>
        <v>1026</v>
      </c>
      <c r="K26" s="89">
        <v>226.0</v>
      </c>
      <c r="L26" s="119">
        <f>SUM(K26:K27)</f>
        <v>1226</v>
      </c>
      <c r="M26" s="89">
        <v>226.0</v>
      </c>
      <c r="N26" s="119">
        <f>SUM(M26:M27)</f>
        <v>226</v>
      </c>
      <c r="O26" s="89">
        <v>226.0</v>
      </c>
      <c r="P26" s="119">
        <f>SUM(O26:O27)</f>
        <v>226</v>
      </c>
      <c r="Q26" s="89">
        <v>226.0</v>
      </c>
      <c r="R26" s="119">
        <f>SUM(Q26:Q27)</f>
        <v>226</v>
      </c>
      <c r="S26" s="89">
        <v>226.0</v>
      </c>
      <c r="T26" s="119">
        <f>SUM(S26:S27)</f>
        <v>226</v>
      </c>
      <c r="U26" s="89">
        <v>0.0</v>
      </c>
      <c r="V26" s="119">
        <f>SUM(U26:U27)</f>
        <v>0</v>
      </c>
      <c r="W26" s="89">
        <v>0.0</v>
      </c>
      <c r="X26" s="113">
        <f t="shared" si="12"/>
        <v>0</v>
      </c>
      <c r="Y26" s="89">
        <v>0.0</v>
      </c>
      <c r="Z26" s="113">
        <f t="shared" si="13"/>
        <v>0</v>
      </c>
      <c r="AA26" s="73">
        <f t="shared" si="1"/>
        <v>8306</v>
      </c>
    </row>
    <row r="27">
      <c r="A27" s="74"/>
      <c r="B27" s="118" t="s">
        <v>7</v>
      </c>
      <c r="C27" s="89">
        <v>1000.0</v>
      </c>
      <c r="D27" s="74"/>
      <c r="E27" s="89">
        <v>0.0</v>
      </c>
      <c r="F27" s="74"/>
      <c r="G27" s="89">
        <v>0.0</v>
      </c>
      <c r="H27" s="78"/>
      <c r="I27" s="89">
        <v>800.0</v>
      </c>
      <c r="J27" s="78"/>
      <c r="K27" s="89">
        <v>1000.0</v>
      </c>
      <c r="L27" s="78"/>
      <c r="M27" s="89">
        <v>0.0</v>
      </c>
      <c r="N27" s="78"/>
      <c r="O27" s="89">
        <v>0.0</v>
      </c>
      <c r="P27" s="78"/>
      <c r="Q27" s="89">
        <v>0.0</v>
      </c>
      <c r="R27" s="78"/>
      <c r="S27" s="89">
        <v>0.0</v>
      </c>
      <c r="T27" s="78"/>
      <c r="U27" s="89">
        <v>0.0</v>
      </c>
      <c r="V27" s="78"/>
      <c r="W27" s="89">
        <v>0.0</v>
      </c>
      <c r="X27" s="113">
        <f t="shared" si="12"/>
        <v>0</v>
      </c>
      <c r="Y27" s="89">
        <v>0.0</v>
      </c>
      <c r="Z27" s="113">
        <f t="shared" si="13"/>
        <v>0</v>
      </c>
      <c r="AA27" s="73">
        <f t="shared" si="1"/>
        <v>2800</v>
      </c>
    </row>
    <row r="28">
      <c r="A28" s="74"/>
      <c r="B28" s="118" t="s">
        <v>99</v>
      </c>
      <c r="C28" s="89">
        <v>1051.0</v>
      </c>
      <c r="D28" s="74"/>
      <c r="E28" s="89">
        <v>1051.0</v>
      </c>
      <c r="F28" s="78"/>
      <c r="G28" s="89">
        <v>54.0</v>
      </c>
      <c r="H28" s="120"/>
      <c r="I28" s="89">
        <v>54.0</v>
      </c>
      <c r="J28" s="120"/>
      <c r="K28" s="89">
        <v>54.0</v>
      </c>
      <c r="L28" s="120"/>
      <c r="M28" s="89">
        <v>54.0</v>
      </c>
      <c r="N28" s="120"/>
      <c r="O28" s="89">
        <v>0.0</v>
      </c>
      <c r="P28" s="120"/>
      <c r="Q28" s="89">
        <v>0.0</v>
      </c>
      <c r="R28" s="120"/>
      <c r="S28" s="89">
        <v>0.0</v>
      </c>
      <c r="T28" s="120"/>
      <c r="U28" s="89">
        <v>0.0</v>
      </c>
      <c r="V28" s="89">
        <v>0.0</v>
      </c>
      <c r="W28" s="89">
        <v>0.0</v>
      </c>
      <c r="X28" s="113">
        <f t="shared" si="12"/>
        <v>0</v>
      </c>
      <c r="Y28" s="89">
        <v>0.0</v>
      </c>
      <c r="Z28" s="113">
        <f t="shared" si="13"/>
        <v>0</v>
      </c>
      <c r="AA28" s="95"/>
    </row>
    <row r="29">
      <c r="A29" s="78"/>
      <c r="B29" s="118" t="s">
        <v>50</v>
      </c>
      <c r="C29" s="89">
        <v>220.0</v>
      </c>
      <c r="D29" s="78"/>
      <c r="E29" s="89">
        <v>540.0</v>
      </c>
      <c r="F29" s="120"/>
      <c r="G29" s="89">
        <v>0.0</v>
      </c>
      <c r="H29" s="120"/>
      <c r="I29" s="89"/>
      <c r="J29" s="120"/>
      <c r="K29" s="89">
        <v>0.0</v>
      </c>
      <c r="L29" s="120"/>
      <c r="M29" s="89">
        <v>200.0</v>
      </c>
      <c r="N29" s="120"/>
      <c r="O29" s="89">
        <v>0.0</v>
      </c>
      <c r="P29" s="120"/>
      <c r="Q29" s="89">
        <v>0.0</v>
      </c>
      <c r="R29" s="120"/>
      <c r="S29" s="89">
        <v>0.0</v>
      </c>
      <c r="T29" s="120"/>
      <c r="U29" s="89">
        <v>0.0</v>
      </c>
      <c r="V29" s="89">
        <v>0.0</v>
      </c>
      <c r="W29" s="89">
        <v>0.0</v>
      </c>
      <c r="X29" s="113">
        <f t="shared" si="12"/>
        <v>0</v>
      </c>
      <c r="Y29" s="89">
        <v>0.0</v>
      </c>
      <c r="Z29" s="113">
        <f t="shared" si="13"/>
        <v>0</v>
      </c>
      <c r="AA29" s="95"/>
    </row>
    <row r="30">
      <c r="A30" s="121"/>
      <c r="B30" s="118" t="s">
        <v>102</v>
      </c>
      <c r="C30" s="89"/>
      <c r="D30" s="120"/>
      <c r="E30" s="89"/>
      <c r="F30" s="120"/>
      <c r="G30" s="89"/>
      <c r="H30" s="120"/>
      <c r="I30" s="89"/>
      <c r="J30" s="120"/>
      <c r="K30" s="89"/>
      <c r="L30" s="120"/>
      <c r="M30" s="89"/>
      <c r="N30" s="120"/>
      <c r="O30" s="89">
        <v>500.0</v>
      </c>
      <c r="P30" s="120"/>
      <c r="Q30" s="89">
        <v>0.0</v>
      </c>
      <c r="R30" s="120"/>
      <c r="S30" s="89">
        <v>0.0</v>
      </c>
      <c r="T30" s="120"/>
      <c r="U30" s="89">
        <v>0.0</v>
      </c>
      <c r="V30" s="89">
        <v>0.0</v>
      </c>
      <c r="W30" s="89">
        <v>0.0</v>
      </c>
      <c r="X30" s="113">
        <f t="shared" si="12"/>
        <v>0</v>
      </c>
      <c r="Y30" s="89">
        <v>0.0</v>
      </c>
      <c r="Z30" s="113">
        <f t="shared" si="13"/>
        <v>0</v>
      </c>
      <c r="AA30" s="95"/>
    </row>
    <row r="31">
      <c r="A31" s="121"/>
      <c r="B31" s="118" t="s">
        <v>106</v>
      </c>
      <c r="C31" s="89"/>
      <c r="D31" s="120"/>
      <c r="E31" s="89"/>
      <c r="F31" s="120"/>
      <c r="G31" s="89"/>
      <c r="H31" s="120"/>
      <c r="I31" s="89"/>
      <c r="J31" s="120"/>
      <c r="K31" s="89"/>
      <c r="L31" s="120"/>
      <c r="M31" s="89"/>
      <c r="N31" s="120"/>
      <c r="O31" s="89">
        <v>200.0</v>
      </c>
      <c r="P31" s="120"/>
      <c r="Q31" s="89">
        <v>0.0</v>
      </c>
      <c r="R31" s="120"/>
      <c r="S31" s="89">
        <v>0.0</v>
      </c>
      <c r="T31" s="120"/>
      <c r="U31" s="89">
        <v>0.0</v>
      </c>
      <c r="V31" s="89">
        <v>0.0</v>
      </c>
      <c r="W31" s="89">
        <v>0.0</v>
      </c>
      <c r="X31" s="113">
        <f t="shared" si="12"/>
        <v>0</v>
      </c>
      <c r="Y31" s="89">
        <v>0.0</v>
      </c>
      <c r="Z31" s="113">
        <f t="shared" si="13"/>
        <v>0</v>
      </c>
      <c r="AA31" s="95"/>
    </row>
    <row r="32">
      <c r="A32" s="121"/>
      <c r="B32" s="118" t="s">
        <v>95</v>
      </c>
      <c r="C32" s="89"/>
      <c r="D32" s="120"/>
      <c r="E32" s="89"/>
      <c r="F32" s="120"/>
      <c r="G32" s="89"/>
      <c r="H32" s="120"/>
      <c r="I32" s="89"/>
      <c r="J32" s="120"/>
      <c r="K32" s="89"/>
      <c r="L32" s="120"/>
      <c r="M32" s="89"/>
      <c r="N32" s="120"/>
      <c r="O32" s="89"/>
      <c r="P32" s="120"/>
      <c r="Q32" s="89"/>
      <c r="R32" s="120"/>
      <c r="S32" s="89"/>
      <c r="T32" s="120"/>
      <c r="U32" s="89"/>
      <c r="V32" s="89"/>
      <c r="W32" s="89">
        <v>1000.0</v>
      </c>
      <c r="X32" s="113">
        <f t="shared" si="12"/>
        <v>1000</v>
      </c>
      <c r="Y32" s="89">
        <v>3000.0</v>
      </c>
      <c r="Z32" s="113">
        <f t="shared" si="13"/>
        <v>3000</v>
      </c>
      <c r="AA32" s="95"/>
    </row>
    <row r="33">
      <c r="A33" s="124" t="s">
        <v>107</v>
      </c>
      <c r="B33" s="123" t="s">
        <v>10</v>
      </c>
      <c r="C33" s="89">
        <v>530.0</v>
      </c>
      <c r="D33" s="126">
        <f>SUM(C33:C34)</f>
        <v>718</v>
      </c>
      <c r="E33" s="89">
        <v>530.0</v>
      </c>
      <c r="F33" s="126">
        <f>SUM(E33:E34)</f>
        <v>718</v>
      </c>
      <c r="G33" s="89">
        <v>530.0</v>
      </c>
      <c r="H33" s="126">
        <f>SUM(G33:G34)</f>
        <v>718</v>
      </c>
      <c r="I33" s="89">
        <v>530.0</v>
      </c>
      <c r="J33" s="126">
        <f>SUM(I33:I34)</f>
        <v>718</v>
      </c>
      <c r="K33" s="89">
        <v>545.0</v>
      </c>
      <c r="L33" s="126">
        <f>SUM(K33:K34)</f>
        <v>760</v>
      </c>
      <c r="M33" s="89">
        <v>530.0</v>
      </c>
      <c r="N33" s="126">
        <f>SUM(M33:M34)</f>
        <v>718</v>
      </c>
      <c r="O33" s="89">
        <v>530.0</v>
      </c>
      <c r="P33" s="126">
        <f>SUM(O33:O34)</f>
        <v>718</v>
      </c>
      <c r="Q33" s="89">
        <v>545.0</v>
      </c>
      <c r="R33" s="126">
        <f>SUM(Q33:Q34)</f>
        <v>760</v>
      </c>
      <c r="S33" s="89">
        <v>545.0</v>
      </c>
      <c r="T33" s="126">
        <f>SUM(S33:S34)</f>
        <v>760</v>
      </c>
      <c r="U33" s="89">
        <v>545.0</v>
      </c>
      <c r="V33" s="126">
        <f>SUM(U33:U34)</f>
        <v>760</v>
      </c>
      <c r="W33" s="89">
        <v>545.0</v>
      </c>
      <c r="X33" s="126">
        <f>SUM(W33:W34)</f>
        <v>760</v>
      </c>
      <c r="Y33" s="89">
        <v>545.0</v>
      </c>
      <c r="Z33" s="126">
        <f>SUM(Y33:Y34)</f>
        <v>760</v>
      </c>
      <c r="AA33" s="73">
        <f t="shared" ref="AA33:AA34" si="14">SUM(C33:Y33)</f>
        <v>14558</v>
      </c>
    </row>
    <row r="34">
      <c r="A34" s="78"/>
      <c r="B34" s="123" t="s">
        <v>110</v>
      </c>
      <c r="C34" s="89">
        <v>188.0</v>
      </c>
      <c r="D34" s="78"/>
      <c r="E34" s="89">
        <v>188.0</v>
      </c>
      <c r="F34" s="78"/>
      <c r="G34" s="89">
        <v>188.0</v>
      </c>
      <c r="H34" s="78"/>
      <c r="I34" s="89">
        <v>188.0</v>
      </c>
      <c r="J34" s="78"/>
      <c r="K34" s="89">
        <v>215.0</v>
      </c>
      <c r="L34" s="78"/>
      <c r="M34" s="89">
        <v>188.0</v>
      </c>
      <c r="N34" s="78"/>
      <c r="O34" s="89">
        <v>188.0</v>
      </c>
      <c r="P34" s="78"/>
      <c r="Q34" s="89">
        <v>215.0</v>
      </c>
      <c r="R34" s="78"/>
      <c r="S34" s="89">
        <v>215.0</v>
      </c>
      <c r="T34" s="78"/>
      <c r="U34" s="89">
        <v>215.0</v>
      </c>
      <c r="V34" s="78"/>
      <c r="W34" s="89">
        <v>215.0</v>
      </c>
      <c r="X34" s="78"/>
      <c r="Y34" s="89">
        <v>215.0</v>
      </c>
      <c r="Z34" s="78"/>
      <c r="AA34" s="73">
        <f t="shared" si="14"/>
        <v>2418</v>
      </c>
    </row>
    <row r="35">
      <c r="D35" s="31"/>
      <c r="F35" s="31"/>
      <c r="H35" s="31"/>
      <c r="J35" s="31"/>
      <c r="L35" s="31"/>
    </row>
    <row r="38">
      <c r="A38" s="31" t="s">
        <v>50</v>
      </c>
      <c r="D38" s="31">
        <v>3250.0</v>
      </c>
      <c r="U38" s="31">
        <v>560.0</v>
      </c>
    </row>
    <row r="39">
      <c r="A39" s="31" t="s">
        <v>112</v>
      </c>
      <c r="D39" s="31">
        <v>33149.0</v>
      </c>
      <c r="F39" s="31">
        <v>4558.0</v>
      </c>
      <c r="K39" s="31"/>
      <c r="L39" s="31"/>
      <c r="M39" s="31"/>
      <c r="N39" s="31"/>
      <c r="O39" s="31"/>
      <c r="P39" s="31"/>
      <c r="U39" s="31">
        <v>55.0</v>
      </c>
    </row>
    <row r="40">
      <c r="A40" s="128" t="s">
        <v>113</v>
      </c>
      <c r="B40" s="128">
        <v>1104.0</v>
      </c>
      <c r="C40" s="128"/>
      <c r="D40" s="129">
        <f>SUM(B40:C40)</f>
        <v>1104</v>
      </c>
      <c r="F40" s="31">
        <v>50.0</v>
      </c>
      <c r="G40" s="130">
        <v>46003.0</v>
      </c>
      <c r="U40" s="31">
        <v>40.0</v>
      </c>
    </row>
    <row r="41">
      <c r="A41" s="128" t="s">
        <v>114</v>
      </c>
      <c r="B41" s="129"/>
      <c r="C41" s="129"/>
      <c r="D41" s="128">
        <v>2351.0</v>
      </c>
      <c r="F41" s="31">
        <v>60.0</v>
      </c>
      <c r="G41" s="10" t="s">
        <v>115</v>
      </c>
      <c r="U41" s="102">
        <f>SUM(U38:U40)</f>
        <v>655</v>
      </c>
    </row>
    <row r="42">
      <c r="A42" s="128" t="s">
        <v>116</v>
      </c>
      <c r="B42" s="129"/>
      <c r="C42" s="129"/>
      <c r="D42" s="128">
        <v>0.0</v>
      </c>
      <c r="F42" s="31">
        <v>50.0</v>
      </c>
      <c r="G42" s="131">
        <v>46003.0</v>
      </c>
    </row>
    <row r="43">
      <c r="A43" s="128" t="s">
        <v>117</v>
      </c>
      <c r="B43" s="129"/>
      <c r="C43" s="129"/>
      <c r="D43" s="128">
        <v>24136.0</v>
      </c>
      <c r="F43" s="31">
        <v>30.0</v>
      </c>
      <c r="G43" s="131">
        <v>46004.0</v>
      </c>
    </row>
    <row r="44">
      <c r="A44" s="31" t="s">
        <v>118</v>
      </c>
      <c r="D44" s="102">
        <f>SUM(D40:D43)</f>
        <v>27591</v>
      </c>
      <c r="F44" s="31">
        <v>111.0</v>
      </c>
      <c r="G44" s="131">
        <v>46019.0</v>
      </c>
    </row>
    <row r="45">
      <c r="F45" s="102">
        <f>SUM(F40:F44)</f>
        <v>301</v>
      </c>
    </row>
    <row r="46">
      <c r="A46" s="31" t="s">
        <v>119</v>
      </c>
      <c r="B46" s="31">
        <f>SUM(D39-D44-D38)</f>
        <v>2308</v>
      </c>
      <c r="F46" s="102">
        <f>SUM(F39-F45)</f>
        <v>4257</v>
      </c>
    </row>
  </sheetData>
  <mergeCells count="201">
    <mergeCell ref="O1:P1"/>
    <mergeCell ref="Q1:R1"/>
    <mergeCell ref="S1:T1"/>
    <mergeCell ref="U1:V1"/>
    <mergeCell ref="W1:X1"/>
    <mergeCell ref="Y1:Z1"/>
    <mergeCell ref="K2:L2"/>
    <mergeCell ref="M2:N2"/>
    <mergeCell ref="O2:P2"/>
    <mergeCell ref="Q2:R2"/>
    <mergeCell ref="S2:T2"/>
    <mergeCell ref="U2:V2"/>
    <mergeCell ref="W2:X2"/>
    <mergeCell ref="Y2:Z2"/>
    <mergeCell ref="A1:B2"/>
    <mergeCell ref="C1:D1"/>
    <mergeCell ref="E1:F1"/>
    <mergeCell ref="G1:H1"/>
    <mergeCell ref="I1:J1"/>
    <mergeCell ref="K1:L1"/>
    <mergeCell ref="M1:N1"/>
    <mergeCell ref="Q3:R3"/>
    <mergeCell ref="S3:T3"/>
    <mergeCell ref="U3:V3"/>
    <mergeCell ref="W3:X3"/>
    <mergeCell ref="Y3:Z3"/>
    <mergeCell ref="G2:H2"/>
    <mergeCell ref="I2:J2"/>
    <mergeCell ref="G3:H3"/>
    <mergeCell ref="I3:J3"/>
    <mergeCell ref="K3:L3"/>
    <mergeCell ref="M3:N3"/>
    <mergeCell ref="O3:P3"/>
    <mergeCell ref="U4:V4"/>
    <mergeCell ref="W4:X4"/>
    <mergeCell ref="Y4:Z4"/>
    <mergeCell ref="G4:H4"/>
    <mergeCell ref="I4:J4"/>
    <mergeCell ref="K4:L4"/>
    <mergeCell ref="M4:N4"/>
    <mergeCell ref="O4:P4"/>
    <mergeCell ref="Q4:R4"/>
    <mergeCell ref="S4:T4"/>
    <mergeCell ref="Q5:R5"/>
    <mergeCell ref="S5:T5"/>
    <mergeCell ref="U5:V5"/>
    <mergeCell ref="W5:X5"/>
    <mergeCell ref="Y5:Z5"/>
    <mergeCell ref="C5:D5"/>
    <mergeCell ref="E5:F5"/>
    <mergeCell ref="G5:H5"/>
    <mergeCell ref="I5:J5"/>
    <mergeCell ref="K5:L5"/>
    <mergeCell ref="M5:N5"/>
    <mergeCell ref="O5:P5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O6:P6"/>
    <mergeCell ref="Q7:R7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C2:D2"/>
    <mergeCell ref="E2:F2"/>
    <mergeCell ref="A3:A7"/>
    <mergeCell ref="C3:D3"/>
    <mergeCell ref="E3:F3"/>
    <mergeCell ref="C4:D4"/>
    <mergeCell ref="E4:F4"/>
    <mergeCell ref="F10:F12"/>
    <mergeCell ref="H10:H12"/>
    <mergeCell ref="F13:F15"/>
    <mergeCell ref="H13:H15"/>
    <mergeCell ref="J10:J12"/>
    <mergeCell ref="L10:L12"/>
    <mergeCell ref="J13:J15"/>
    <mergeCell ref="L13:L15"/>
    <mergeCell ref="N13:N15"/>
    <mergeCell ref="P13:P15"/>
    <mergeCell ref="R13:R15"/>
    <mergeCell ref="V16:V18"/>
    <mergeCell ref="X16:X18"/>
    <mergeCell ref="H16:H18"/>
    <mergeCell ref="J16:J18"/>
    <mergeCell ref="L16:L18"/>
    <mergeCell ref="N16:N18"/>
    <mergeCell ref="P16:P18"/>
    <mergeCell ref="R16:R18"/>
    <mergeCell ref="T16:T18"/>
    <mergeCell ref="R19:R20"/>
    <mergeCell ref="T19:T20"/>
    <mergeCell ref="R22:R23"/>
    <mergeCell ref="T22:T23"/>
    <mergeCell ref="V22:V23"/>
    <mergeCell ref="X22:X23"/>
    <mergeCell ref="Z22:Z23"/>
    <mergeCell ref="D19:D20"/>
    <mergeCell ref="D22:D23"/>
    <mergeCell ref="A26:A29"/>
    <mergeCell ref="D26:D29"/>
    <mergeCell ref="F26:F28"/>
    <mergeCell ref="A33:A34"/>
    <mergeCell ref="D33:D34"/>
    <mergeCell ref="F33:F34"/>
    <mergeCell ref="H19:H20"/>
    <mergeCell ref="H22:H23"/>
    <mergeCell ref="H26:H27"/>
    <mergeCell ref="J26:J27"/>
    <mergeCell ref="H33:H34"/>
    <mergeCell ref="J33:J34"/>
    <mergeCell ref="P19:P20"/>
    <mergeCell ref="P22:P23"/>
    <mergeCell ref="P26:P27"/>
    <mergeCell ref="R26:R27"/>
    <mergeCell ref="T26:T27"/>
    <mergeCell ref="V26:V27"/>
    <mergeCell ref="D16:D18"/>
    <mergeCell ref="J19:J20"/>
    <mergeCell ref="N19:N20"/>
    <mergeCell ref="A22:A23"/>
    <mergeCell ref="F22:F23"/>
    <mergeCell ref="J22:J23"/>
    <mergeCell ref="N22:N23"/>
    <mergeCell ref="R33:R34"/>
    <mergeCell ref="T33:T34"/>
    <mergeCell ref="V33:V34"/>
    <mergeCell ref="X33:X34"/>
    <mergeCell ref="Z33:Z34"/>
    <mergeCell ref="L19:L20"/>
    <mergeCell ref="L22:L23"/>
    <mergeCell ref="L26:L27"/>
    <mergeCell ref="N26:N27"/>
    <mergeCell ref="L33:L34"/>
    <mergeCell ref="N33:N34"/>
    <mergeCell ref="P33:P34"/>
    <mergeCell ref="O8:P8"/>
    <mergeCell ref="Q8:R8"/>
    <mergeCell ref="S8:T8"/>
    <mergeCell ref="U8:V8"/>
    <mergeCell ref="W8:X8"/>
    <mergeCell ref="Y8:Z8"/>
    <mergeCell ref="A8:B8"/>
    <mergeCell ref="C8:D8"/>
    <mergeCell ref="E8:F8"/>
    <mergeCell ref="G8:H8"/>
    <mergeCell ref="I8:J8"/>
    <mergeCell ref="K8:L8"/>
    <mergeCell ref="M8:N8"/>
    <mergeCell ref="Q9:R9"/>
    <mergeCell ref="S9:T9"/>
    <mergeCell ref="U9:V9"/>
    <mergeCell ref="W9:X9"/>
    <mergeCell ref="Y9:Z9"/>
    <mergeCell ref="AA9:AB9"/>
    <mergeCell ref="N10:N12"/>
    <mergeCell ref="P10:P12"/>
    <mergeCell ref="R10:R12"/>
    <mergeCell ref="T10:T12"/>
    <mergeCell ref="V10:V12"/>
    <mergeCell ref="X10:X12"/>
    <mergeCell ref="Z10:Z12"/>
    <mergeCell ref="E9:F9"/>
    <mergeCell ref="G9:H9"/>
    <mergeCell ref="I9:J9"/>
    <mergeCell ref="K9:L9"/>
    <mergeCell ref="M9:N9"/>
    <mergeCell ref="O9:P9"/>
    <mergeCell ref="A10:A12"/>
    <mergeCell ref="T13:T15"/>
    <mergeCell ref="V13:V15"/>
    <mergeCell ref="X13:X15"/>
    <mergeCell ref="Z13:Z15"/>
    <mergeCell ref="Z16:Z18"/>
    <mergeCell ref="V19:V20"/>
    <mergeCell ref="X19:X20"/>
    <mergeCell ref="Z19:Z20"/>
    <mergeCell ref="C9:D9"/>
    <mergeCell ref="D10:D12"/>
    <mergeCell ref="A13:A14"/>
    <mergeCell ref="D13:D15"/>
    <mergeCell ref="A16:A18"/>
    <mergeCell ref="F16:F18"/>
    <mergeCell ref="A19:A20"/>
    <mergeCell ref="F19:F20"/>
  </mergeCells>
  <conditionalFormatting sqref="C1:Z1">
    <cfRule type="cellIs" dxfId="0" priority="1" operator="greaterThan">
      <formula>0</formula>
    </cfRule>
  </conditionalFormatting>
  <conditionalFormatting sqref="C1:Z1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13"/>
    <col customWidth="1" min="3" max="4" width="12.5"/>
    <col customWidth="1" min="5" max="6" width="11.75"/>
    <col customWidth="1" min="7" max="8" width="11.88"/>
    <col customWidth="1" min="9" max="10" width="12.25"/>
    <col customWidth="1" min="11" max="12" width="11.38"/>
    <col customWidth="1" min="13" max="14" width="12.5"/>
    <col customWidth="1" min="15" max="16" width="11.88"/>
    <col customWidth="1" min="17" max="18" width="12.0"/>
    <col customWidth="1" min="19" max="20" width="12.38"/>
    <col customWidth="1" min="21" max="22" width="12.88"/>
    <col customWidth="1" min="23" max="24" width="12.0"/>
    <col customWidth="1" min="25" max="26" width="12.13"/>
  </cols>
  <sheetData>
    <row r="1" ht="59.25" customHeight="1">
      <c r="A1" s="59" t="s">
        <v>56</v>
      </c>
      <c r="B1" s="60"/>
      <c r="C1" s="61">
        <f>SUM(C8-C9)</f>
        <v>3704</v>
      </c>
      <c r="D1" s="62"/>
      <c r="E1" s="61">
        <f>SUM(E8-E9)</f>
        <v>2009</v>
      </c>
      <c r="F1" s="62"/>
      <c r="G1" s="63">
        <f>SUM(G8-G9)</f>
        <v>186.41</v>
      </c>
      <c r="H1" s="62"/>
      <c r="I1" s="61">
        <f>SUM(I8-I9)</f>
        <v>107</v>
      </c>
      <c r="J1" s="62"/>
      <c r="K1" s="61">
        <f>SUM(K8-K9)</f>
        <v>-311</v>
      </c>
      <c r="L1" s="62"/>
      <c r="M1" s="61">
        <f>SUM(M8-M9)</f>
        <v>42</v>
      </c>
      <c r="N1" s="62"/>
      <c r="O1" s="61">
        <f>SUM(O8-O9)</f>
        <v>-1653</v>
      </c>
      <c r="P1" s="62"/>
      <c r="Q1" s="61">
        <f>SUM(Q8-Q9)</f>
        <v>-1835</v>
      </c>
      <c r="R1" s="62"/>
      <c r="S1" s="61">
        <f>SUM(S8-S9)</f>
        <v>-2201</v>
      </c>
      <c r="T1" s="62"/>
      <c r="U1" s="61">
        <f>SUM(U8-U9)</f>
        <v>-1784</v>
      </c>
      <c r="V1" s="62"/>
      <c r="W1" s="61">
        <f>SUM(W8-W9)</f>
        <v>-3476</v>
      </c>
      <c r="X1" s="62"/>
      <c r="Y1" s="61">
        <f>SUM(Y8-Y9)</f>
        <v>-2057</v>
      </c>
      <c r="Z1" s="62"/>
      <c r="AA1" s="64"/>
    </row>
    <row r="2">
      <c r="A2" s="65"/>
      <c r="B2" s="66"/>
      <c r="C2" s="67" t="s">
        <v>57</v>
      </c>
      <c r="D2" s="62"/>
      <c r="E2" s="67" t="s">
        <v>58</v>
      </c>
      <c r="F2" s="62"/>
      <c r="G2" s="67" t="s">
        <v>59</v>
      </c>
      <c r="H2" s="62"/>
      <c r="I2" s="67" t="s">
        <v>60</v>
      </c>
      <c r="J2" s="62"/>
      <c r="K2" s="67" t="s">
        <v>61</v>
      </c>
      <c r="L2" s="62"/>
      <c r="M2" s="67" t="s">
        <v>62</v>
      </c>
      <c r="N2" s="62"/>
      <c r="O2" s="67" t="s">
        <v>63</v>
      </c>
      <c r="P2" s="62"/>
      <c r="Q2" s="67" t="s">
        <v>64</v>
      </c>
      <c r="R2" s="62"/>
      <c r="S2" s="67" t="s">
        <v>65</v>
      </c>
      <c r="T2" s="62"/>
      <c r="U2" s="67" t="s">
        <v>66</v>
      </c>
      <c r="V2" s="62"/>
      <c r="W2" s="67" t="s">
        <v>67</v>
      </c>
      <c r="X2" s="62"/>
      <c r="Y2" s="67" t="s">
        <v>68</v>
      </c>
      <c r="Z2" s="62"/>
      <c r="AA2" s="69" t="s">
        <v>69</v>
      </c>
    </row>
    <row r="3">
      <c r="A3" s="70" t="s">
        <v>70</v>
      </c>
      <c r="B3" s="71" t="s">
        <v>71</v>
      </c>
      <c r="C3" s="72">
        <v>6100.0</v>
      </c>
      <c r="D3" s="62"/>
      <c r="E3" s="72">
        <v>6181.0</v>
      </c>
      <c r="F3" s="62"/>
      <c r="G3" s="72">
        <v>6598.41</v>
      </c>
      <c r="H3" s="62"/>
      <c r="I3" s="72">
        <v>6397.0</v>
      </c>
      <c r="J3" s="62"/>
      <c r="K3" s="72">
        <v>6397.0</v>
      </c>
      <c r="L3" s="62"/>
      <c r="M3" s="72">
        <v>6397.0</v>
      </c>
      <c r="N3" s="62"/>
      <c r="O3" s="72">
        <v>6397.0</v>
      </c>
      <c r="P3" s="62"/>
      <c r="Q3" s="72">
        <v>6397.0</v>
      </c>
      <c r="R3" s="62"/>
      <c r="S3" s="75">
        <v>6397.0</v>
      </c>
      <c r="T3" s="62"/>
      <c r="U3" s="75">
        <v>6397.0</v>
      </c>
      <c r="V3" s="62"/>
      <c r="W3" s="75">
        <v>6397.0</v>
      </c>
      <c r="X3" s="62"/>
      <c r="Y3" s="75">
        <v>6397.0</v>
      </c>
      <c r="Z3" s="62"/>
      <c r="AA3" s="73">
        <f t="shared" ref="AA3:AA10" si="1">SUM(C3:Y3)</f>
        <v>76452.41</v>
      </c>
    </row>
    <row r="4">
      <c r="A4" s="74"/>
      <c r="B4" s="71" t="s">
        <v>72</v>
      </c>
      <c r="C4" s="72">
        <v>5121.0</v>
      </c>
      <c r="D4" s="62"/>
      <c r="E4" s="72">
        <v>0.0</v>
      </c>
      <c r="F4" s="62"/>
      <c r="G4" s="72">
        <v>0.0</v>
      </c>
      <c r="H4" s="62"/>
      <c r="I4" s="72">
        <v>0.0</v>
      </c>
      <c r="J4" s="62"/>
      <c r="K4" s="72">
        <v>0.0</v>
      </c>
      <c r="L4" s="62"/>
      <c r="M4" s="72">
        <v>0.0</v>
      </c>
      <c r="N4" s="62"/>
      <c r="O4" s="72">
        <v>0.0</v>
      </c>
      <c r="P4" s="62"/>
      <c r="Q4" s="72">
        <v>0.0</v>
      </c>
      <c r="R4" s="62"/>
      <c r="S4" s="75">
        <v>0.0</v>
      </c>
      <c r="T4" s="62"/>
      <c r="U4" s="75">
        <v>0.0</v>
      </c>
      <c r="V4" s="62"/>
      <c r="W4" s="75">
        <v>0.0</v>
      </c>
      <c r="X4" s="62"/>
      <c r="Y4" s="75">
        <v>0.0</v>
      </c>
      <c r="Z4" s="62"/>
      <c r="AA4" s="73">
        <f t="shared" si="1"/>
        <v>5121</v>
      </c>
    </row>
    <row r="5">
      <c r="A5" s="74"/>
      <c r="B5" s="71" t="s">
        <v>73</v>
      </c>
      <c r="C5" s="72">
        <v>3000.0</v>
      </c>
      <c r="D5" s="62"/>
      <c r="E5" s="72">
        <v>0.0</v>
      </c>
      <c r="F5" s="62"/>
      <c r="G5" s="72">
        <v>0.0</v>
      </c>
      <c r="H5" s="62"/>
      <c r="I5" s="72">
        <v>0.0</v>
      </c>
      <c r="J5" s="62"/>
      <c r="K5" s="72">
        <v>0.0</v>
      </c>
      <c r="L5" s="62"/>
      <c r="M5" s="72">
        <v>0.0</v>
      </c>
      <c r="N5" s="62"/>
      <c r="O5" s="72">
        <v>0.0</v>
      </c>
      <c r="P5" s="62"/>
      <c r="Q5" s="72">
        <v>0.0</v>
      </c>
      <c r="R5" s="62"/>
      <c r="S5" s="75">
        <v>0.0</v>
      </c>
      <c r="T5" s="62"/>
      <c r="U5" s="75">
        <v>0.0</v>
      </c>
      <c r="V5" s="62"/>
      <c r="W5" s="75">
        <v>0.0</v>
      </c>
      <c r="X5" s="62"/>
      <c r="Y5" s="75">
        <v>0.0</v>
      </c>
      <c r="Z5" s="62"/>
      <c r="AA5" s="73">
        <f t="shared" si="1"/>
        <v>3000</v>
      </c>
    </row>
    <row r="6">
      <c r="A6" s="74"/>
      <c r="B6" s="71" t="s">
        <v>74</v>
      </c>
      <c r="C6" s="72">
        <v>6200.0</v>
      </c>
      <c r="D6" s="62"/>
      <c r="E6" s="72">
        <v>3100.0</v>
      </c>
      <c r="F6" s="62"/>
      <c r="G6" s="72">
        <v>3100.0</v>
      </c>
      <c r="H6" s="62"/>
      <c r="I6" s="72">
        <v>3100.0</v>
      </c>
      <c r="J6" s="62"/>
      <c r="K6" s="72">
        <v>3100.0</v>
      </c>
      <c r="L6" s="62"/>
      <c r="M6" s="72">
        <v>3100.0</v>
      </c>
      <c r="N6" s="62"/>
      <c r="O6" s="72">
        <v>3100.0</v>
      </c>
      <c r="P6" s="62"/>
      <c r="Q6" s="75">
        <v>3100.0</v>
      </c>
      <c r="R6" s="62"/>
      <c r="S6" s="75">
        <v>3100.0</v>
      </c>
      <c r="T6" s="62"/>
      <c r="U6" s="75">
        <v>3100.0</v>
      </c>
      <c r="V6" s="62"/>
      <c r="W6" s="75">
        <v>0.0</v>
      </c>
      <c r="X6" s="62"/>
      <c r="Y6" s="75">
        <v>0.0</v>
      </c>
      <c r="Z6" s="62"/>
      <c r="AA6" s="73">
        <f t="shared" si="1"/>
        <v>34100</v>
      </c>
    </row>
    <row r="7">
      <c r="A7" s="78"/>
      <c r="B7" s="71" t="s">
        <v>75</v>
      </c>
      <c r="C7" s="72">
        <v>1350.0</v>
      </c>
      <c r="D7" s="62"/>
      <c r="E7" s="72">
        <v>300.0</v>
      </c>
      <c r="F7" s="62"/>
      <c r="G7" s="72">
        <v>500.0</v>
      </c>
      <c r="H7" s="62"/>
      <c r="I7" s="72">
        <v>1325.0</v>
      </c>
      <c r="J7" s="62"/>
      <c r="K7" s="72">
        <v>1150.0</v>
      </c>
      <c r="L7" s="62"/>
      <c r="M7" s="72">
        <v>3100.0</v>
      </c>
      <c r="N7" s="62"/>
      <c r="O7" s="72">
        <v>1130.0</v>
      </c>
      <c r="P7" s="62"/>
      <c r="Q7" s="72">
        <v>1030.0</v>
      </c>
      <c r="R7" s="62"/>
      <c r="S7" s="75">
        <v>350.0</v>
      </c>
      <c r="T7" s="62"/>
      <c r="U7" s="75">
        <v>350.0</v>
      </c>
      <c r="V7" s="62"/>
      <c r="W7" s="75">
        <v>350.0</v>
      </c>
      <c r="X7" s="62"/>
      <c r="Y7" s="75">
        <v>350.0</v>
      </c>
      <c r="Z7" s="62"/>
      <c r="AA7" s="73">
        <f t="shared" si="1"/>
        <v>11285</v>
      </c>
    </row>
    <row r="8">
      <c r="A8" s="81" t="s">
        <v>55</v>
      </c>
      <c r="B8" s="62"/>
      <c r="C8" s="82">
        <f>SUM(C3:C7)</f>
        <v>21771</v>
      </c>
      <c r="D8" s="62"/>
      <c r="E8" s="82">
        <f>SUM(E3:E7)</f>
        <v>9581</v>
      </c>
      <c r="F8" s="62"/>
      <c r="G8" s="82">
        <f>SUM(G3:G7)</f>
        <v>10198.41</v>
      </c>
      <c r="H8" s="62"/>
      <c r="I8" s="82">
        <f>SUM(I3:I7)</f>
        <v>10822</v>
      </c>
      <c r="J8" s="62"/>
      <c r="K8" s="82">
        <f>SUM(K3:K7)</f>
        <v>10647</v>
      </c>
      <c r="L8" s="62"/>
      <c r="M8" s="82">
        <f>SUM(M3:M7)</f>
        <v>12597</v>
      </c>
      <c r="N8" s="62"/>
      <c r="O8" s="82">
        <f>SUM(O3:O7)</f>
        <v>10627</v>
      </c>
      <c r="P8" s="62"/>
      <c r="Q8" s="82">
        <f>SUM(Q3:Q7)</f>
        <v>10527</v>
      </c>
      <c r="R8" s="62"/>
      <c r="S8" s="82">
        <f>SUM(S3:S7)</f>
        <v>9847</v>
      </c>
      <c r="T8" s="62"/>
      <c r="U8" s="82">
        <f>SUM(U3:U7)</f>
        <v>9847</v>
      </c>
      <c r="V8" s="62"/>
      <c r="W8" s="82">
        <f>SUM(W3:W7)</f>
        <v>6747</v>
      </c>
      <c r="X8" s="62"/>
      <c r="Y8" s="82">
        <f>SUM(Y3:Y7)</f>
        <v>6747</v>
      </c>
      <c r="Z8" s="62"/>
      <c r="AA8" s="73">
        <f t="shared" si="1"/>
        <v>129958.41</v>
      </c>
    </row>
    <row r="9">
      <c r="A9" s="83" t="s">
        <v>76</v>
      </c>
      <c r="B9" s="84" t="s">
        <v>77</v>
      </c>
      <c r="C9" s="85">
        <f>SUM(C10:C27)</f>
        <v>18067</v>
      </c>
      <c r="D9" s="62"/>
      <c r="E9" s="85">
        <f>SUM(E10:E27)</f>
        <v>7572</v>
      </c>
      <c r="F9" s="62"/>
      <c r="G9" s="85">
        <f>SUM(G10:G27)</f>
        <v>10012</v>
      </c>
      <c r="H9" s="62"/>
      <c r="I9" s="85">
        <f>SUM(I10:I27)</f>
        <v>10715</v>
      </c>
      <c r="J9" s="62"/>
      <c r="K9" s="85">
        <f>SUM(K10:K27)</f>
        <v>10958</v>
      </c>
      <c r="L9" s="62"/>
      <c r="M9" s="85">
        <f>SUM(M10:M27)</f>
        <v>12555</v>
      </c>
      <c r="N9" s="62"/>
      <c r="O9" s="85">
        <f>SUM(O10:O28)</f>
        <v>12280</v>
      </c>
      <c r="P9" s="62"/>
      <c r="Q9" s="85">
        <f>SUM(Q10:Q28)</f>
        <v>12362</v>
      </c>
      <c r="R9" s="62"/>
      <c r="S9" s="85">
        <f>SUM(S10:S28)</f>
        <v>12048</v>
      </c>
      <c r="T9" s="62"/>
      <c r="U9" s="85">
        <f>SUM(U10:U28)</f>
        <v>11631</v>
      </c>
      <c r="V9" s="62"/>
      <c r="W9" s="85">
        <f>SUM(W10:W28)</f>
        <v>10223</v>
      </c>
      <c r="X9" s="62"/>
      <c r="Y9" s="85">
        <f>SUM(Y10:Y28)</f>
        <v>8804</v>
      </c>
      <c r="Z9" s="62"/>
      <c r="AA9" s="86">
        <f t="shared" si="1"/>
        <v>137227</v>
      </c>
      <c r="AB9" s="62"/>
    </row>
    <row r="10">
      <c r="A10" s="91" t="s">
        <v>78</v>
      </c>
      <c r="B10" s="88" t="s">
        <v>79</v>
      </c>
      <c r="C10" s="89">
        <v>1200.0</v>
      </c>
      <c r="D10" s="90">
        <f>SUM(C10:C12)</f>
        <v>1700</v>
      </c>
      <c r="E10" s="89">
        <v>1200.0</v>
      </c>
      <c r="F10" s="90">
        <f>SUM(E10:E12)</f>
        <v>2000</v>
      </c>
      <c r="G10" s="89">
        <v>1200.0</v>
      </c>
      <c r="H10" s="90">
        <f>SUM(G10:G12)</f>
        <v>1200</v>
      </c>
      <c r="I10" s="89">
        <v>1200.0</v>
      </c>
      <c r="J10" s="90">
        <f>SUM(I10:I12)</f>
        <v>1200</v>
      </c>
      <c r="K10" s="89">
        <v>1200.0</v>
      </c>
      <c r="L10" s="90">
        <f>SUM(K10:K12)</f>
        <v>1200</v>
      </c>
      <c r="M10" s="89">
        <v>1200.0</v>
      </c>
      <c r="N10" s="90">
        <f>SUM(M10:M12)</f>
        <v>1200</v>
      </c>
      <c r="O10" s="89">
        <v>1200.0</v>
      </c>
      <c r="P10" s="90">
        <f>SUM(O10:O12)</f>
        <v>1200</v>
      </c>
      <c r="Q10" s="92">
        <v>1200.0</v>
      </c>
      <c r="R10" s="90">
        <f>SUM(Q10:Q12)</f>
        <v>1200</v>
      </c>
      <c r="S10" s="92">
        <v>1200.0</v>
      </c>
      <c r="T10" s="90">
        <f>SUM(S10:S12)</f>
        <v>1200</v>
      </c>
      <c r="U10" s="92">
        <v>1208.0</v>
      </c>
      <c r="V10" s="90">
        <f>SUM(U10:U12)</f>
        <v>1494</v>
      </c>
      <c r="W10" s="92">
        <v>1200.0</v>
      </c>
      <c r="X10" s="90">
        <f>SUM(W10:W12)</f>
        <v>1486</v>
      </c>
      <c r="Y10" s="92">
        <v>1200.0</v>
      </c>
      <c r="Z10" s="90">
        <f>SUM(Y10:Y12)</f>
        <v>1486</v>
      </c>
      <c r="AA10" s="73">
        <f t="shared" si="1"/>
        <v>29488</v>
      </c>
    </row>
    <row r="11">
      <c r="A11" s="91"/>
      <c r="B11" s="88" t="s">
        <v>2</v>
      </c>
      <c r="C11" s="89">
        <v>0.0</v>
      </c>
      <c r="D11" s="74"/>
      <c r="E11" s="89">
        <v>0.0</v>
      </c>
      <c r="F11" s="74"/>
      <c r="G11" s="89">
        <v>0.0</v>
      </c>
      <c r="H11" s="74"/>
      <c r="I11" s="89">
        <v>0.0</v>
      </c>
      <c r="J11" s="74"/>
      <c r="K11" s="89">
        <v>0.0</v>
      </c>
      <c r="L11" s="74"/>
      <c r="M11" s="89">
        <v>0.0</v>
      </c>
      <c r="N11" s="74"/>
      <c r="O11" s="89">
        <v>0.0</v>
      </c>
      <c r="P11" s="74"/>
      <c r="Q11" s="89">
        <v>0.0</v>
      </c>
      <c r="R11" s="74"/>
      <c r="S11" s="89">
        <v>0.0</v>
      </c>
      <c r="T11" s="74"/>
      <c r="U11" s="92">
        <v>286.0</v>
      </c>
      <c r="V11" s="74"/>
      <c r="W11" s="92">
        <v>286.0</v>
      </c>
      <c r="X11" s="74"/>
      <c r="Y11" s="92">
        <v>286.0</v>
      </c>
      <c r="Z11" s="74"/>
      <c r="AA11" s="95"/>
    </row>
    <row r="12">
      <c r="A12" s="97"/>
      <c r="B12" s="88" t="s">
        <v>52</v>
      </c>
      <c r="C12" s="89">
        <v>500.0</v>
      </c>
      <c r="D12" s="78"/>
      <c r="E12" s="89">
        <v>800.0</v>
      </c>
      <c r="F12" s="78"/>
      <c r="G12" s="89">
        <v>0.0</v>
      </c>
      <c r="H12" s="78"/>
      <c r="I12" s="89">
        <v>0.0</v>
      </c>
      <c r="J12" s="78"/>
      <c r="K12" s="89">
        <v>0.0</v>
      </c>
      <c r="L12" s="78"/>
      <c r="M12" s="89">
        <v>0.0</v>
      </c>
      <c r="N12" s="78"/>
      <c r="O12" s="89">
        <v>0.0</v>
      </c>
      <c r="P12" s="78"/>
      <c r="Q12" s="89">
        <v>0.0</v>
      </c>
      <c r="R12" s="78"/>
      <c r="S12" s="89">
        <v>0.0</v>
      </c>
      <c r="T12" s="78"/>
      <c r="U12" s="92">
        <v>0.0</v>
      </c>
      <c r="V12" s="78"/>
      <c r="W12" s="92">
        <v>0.0</v>
      </c>
      <c r="X12" s="78"/>
      <c r="Y12" s="92">
        <v>0.0</v>
      </c>
      <c r="Z12" s="78"/>
      <c r="AA12" s="73">
        <f t="shared" ref="AA12:AA23" si="2">SUM(C12:Y12)</f>
        <v>1300</v>
      </c>
    </row>
    <row r="13">
      <c r="A13" s="98" t="s">
        <v>80</v>
      </c>
      <c r="B13" s="94" t="s">
        <v>6</v>
      </c>
      <c r="C13" s="89">
        <v>3160.0</v>
      </c>
      <c r="D13" s="96">
        <f>SUM(C13:C14)</f>
        <v>6330</v>
      </c>
      <c r="E13" s="89">
        <v>1462.0</v>
      </c>
      <c r="F13" s="96">
        <f>SUM(E13:E14)</f>
        <v>3132</v>
      </c>
      <c r="G13" s="89">
        <v>4054.0</v>
      </c>
      <c r="H13" s="96">
        <f>SUM(G13:G14)</f>
        <v>6665</v>
      </c>
      <c r="I13" s="89">
        <v>4241.0</v>
      </c>
      <c r="J13" s="96">
        <f>SUM(I13:I14)</f>
        <v>5768</v>
      </c>
      <c r="K13" s="89">
        <v>4877.0</v>
      </c>
      <c r="L13" s="96">
        <f>SUM(K13:K14)</f>
        <v>7811</v>
      </c>
      <c r="M13" s="89">
        <v>5586.0</v>
      </c>
      <c r="N13" s="96">
        <f>SUM(M13:M14)</f>
        <v>7763</v>
      </c>
      <c r="O13" s="89">
        <v>4389.0</v>
      </c>
      <c r="P13" s="96">
        <f>SUM(O13:O14)</f>
        <v>7773</v>
      </c>
      <c r="Q13" s="89">
        <v>4494.0</v>
      </c>
      <c r="R13" s="96">
        <f>SUM(Q13:Q14)</f>
        <v>7795</v>
      </c>
      <c r="S13" s="92">
        <v>4072.0</v>
      </c>
      <c r="T13" s="96">
        <f>SUM(S13:S14)</f>
        <v>7186</v>
      </c>
      <c r="U13" s="92">
        <v>3427.0</v>
      </c>
      <c r="V13" s="96">
        <f>SUM(U13:U14)</f>
        <v>6075</v>
      </c>
      <c r="W13" s="92">
        <v>2272.0</v>
      </c>
      <c r="X13" s="96">
        <f>SUM(W13:W14)</f>
        <v>4675</v>
      </c>
      <c r="Y13" s="92">
        <v>2031.0</v>
      </c>
      <c r="Z13" s="96">
        <f>SUM(Y13:Y14)</f>
        <v>3473</v>
      </c>
      <c r="AA13" s="73">
        <f t="shared" si="2"/>
        <v>115038</v>
      </c>
    </row>
    <row r="14">
      <c r="A14" s="98"/>
      <c r="B14" s="94" t="s">
        <v>82</v>
      </c>
      <c r="C14" s="89">
        <v>3170.0</v>
      </c>
      <c r="D14" s="78"/>
      <c r="E14" s="89">
        <v>1670.0</v>
      </c>
      <c r="F14" s="78"/>
      <c r="G14" s="89">
        <v>2611.0</v>
      </c>
      <c r="H14" s="78"/>
      <c r="I14" s="89">
        <v>1527.0</v>
      </c>
      <c r="J14" s="78"/>
      <c r="K14" s="89">
        <v>2934.0</v>
      </c>
      <c r="L14" s="78"/>
      <c r="M14" s="89">
        <v>2177.0</v>
      </c>
      <c r="N14" s="78"/>
      <c r="O14" s="89">
        <v>3384.0</v>
      </c>
      <c r="P14" s="78"/>
      <c r="Q14" s="89">
        <v>3301.0</v>
      </c>
      <c r="R14" s="78"/>
      <c r="S14" s="92">
        <v>3114.0</v>
      </c>
      <c r="T14" s="78"/>
      <c r="U14" s="92">
        <v>2648.0</v>
      </c>
      <c r="V14" s="78"/>
      <c r="W14" s="92">
        <v>2403.0</v>
      </c>
      <c r="X14" s="78"/>
      <c r="Y14" s="92">
        <v>1442.0</v>
      </c>
      <c r="Z14" s="78"/>
      <c r="AA14" s="73">
        <f t="shared" si="2"/>
        <v>30381</v>
      </c>
    </row>
    <row r="15">
      <c r="A15" s="99" t="s">
        <v>83</v>
      </c>
      <c r="B15" s="100" t="s">
        <v>4</v>
      </c>
      <c r="C15" s="89">
        <v>567.0</v>
      </c>
      <c r="D15" s="101">
        <f>SUM(C15:C17)</f>
        <v>1147</v>
      </c>
      <c r="E15" s="89">
        <v>400.0</v>
      </c>
      <c r="F15" s="101">
        <f>SUM(E15:E17)</f>
        <v>980</v>
      </c>
      <c r="G15" s="89">
        <v>350.0</v>
      </c>
      <c r="H15" s="101">
        <f>SUM(G15:G17)</f>
        <v>440</v>
      </c>
      <c r="I15" s="89">
        <v>0.0</v>
      </c>
      <c r="J15" s="101">
        <f>SUM(I15:I17)</f>
        <v>90</v>
      </c>
      <c r="K15" s="89">
        <v>0.0</v>
      </c>
      <c r="L15" s="101">
        <f>SUM(K15:K17)</f>
        <v>90</v>
      </c>
      <c r="M15" s="89">
        <v>325.0</v>
      </c>
      <c r="N15" s="101">
        <f>SUM(M15:M17)</f>
        <v>405</v>
      </c>
      <c r="O15" s="89">
        <v>0.0</v>
      </c>
      <c r="P15" s="101">
        <f>SUM(O15:O17)</f>
        <v>0</v>
      </c>
      <c r="Q15" s="92">
        <v>0.0</v>
      </c>
      <c r="R15" s="101">
        <f>SUM(Q15:Q17)</f>
        <v>80</v>
      </c>
      <c r="S15" s="92">
        <v>0.0</v>
      </c>
      <c r="T15" s="101">
        <f>SUM(S15:S17)</f>
        <v>80</v>
      </c>
      <c r="U15" s="92">
        <v>400.0</v>
      </c>
      <c r="V15" s="101">
        <f>SUM(U15:U17)</f>
        <v>480</v>
      </c>
      <c r="W15" s="92">
        <v>400.0</v>
      </c>
      <c r="X15" s="101">
        <f>SUM(W15:W17)</f>
        <v>480</v>
      </c>
      <c r="Y15" s="92">
        <v>420.0</v>
      </c>
      <c r="Z15" s="101">
        <f>SUM(Y15:Y17)</f>
        <v>500</v>
      </c>
      <c r="AA15" s="73">
        <f t="shared" si="2"/>
        <v>7134</v>
      </c>
    </row>
    <row r="16">
      <c r="A16" s="74"/>
      <c r="B16" s="100" t="s">
        <v>84</v>
      </c>
      <c r="C16" s="89">
        <v>500.0</v>
      </c>
      <c r="D16" s="74"/>
      <c r="E16" s="89">
        <v>500.0</v>
      </c>
      <c r="F16" s="74"/>
      <c r="G16" s="89">
        <v>0.0</v>
      </c>
      <c r="H16" s="74"/>
      <c r="I16" s="89">
        <v>0.0</v>
      </c>
      <c r="J16" s="74"/>
      <c r="K16" s="89">
        <v>0.0</v>
      </c>
      <c r="L16" s="74"/>
      <c r="M16" s="89">
        <v>0.0</v>
      </c>
      <c r="N16" s="74"/>
      <c r="O16" s="89">
        <v>0.0</v>
      </c>
      <c r="P16" s="74"/>
      <c r="Q16" s="89">
        <v>0.0</v>
      </c>
      <c r="R16" s="74"/>
      <c r="S16" s="92">
        <v>0.0</v>
      </c>
      <c r="T16" s="74"/>
      <c r="U16" s="92">
        <v>0.0</v>
      </c>
      <c r="V16" s="74"/>
      <c r="W16" s="92">
        <v>0.0</v>
      </c>
      <c r="X16" s="74"/>
      <c r="Y16" s="92">
        <v>0.0</v>
      </c>
      <c r="Z16" s="74"/>
      <c r="AA16" s="73">
        <f t="shared" si="2"/>
        <v>1000</v>
      </c>
    </row>
    <row r="17">
      <c r="A17" s="78"/>
      <c r="B17" s="100" t="s">
        <v>12</v>
      </c>
      <c r="C17" s="89">
        <v>80.0</v>
      </c>
      <c r="D17" s="78"/>
      <c r="E17" s="89">
        <v>80.0</v>
      </c>
      <c r="F17" s="78"/>
      <c r="G17" s="89">
        <v>90.0</v>
      </c>
      <c r="H17" s="78"/>
      <c r="I17" s="89">
        <v>90.0</v>
      </c>
      <c r="J17" s="78"/>
      <c r="K17" s="89">
        <v>90.0</v>
      </c>
      <c r="L17" s="78"/>
      <c r="M17" s="89">
        <v>80.0</v>
      </c>
      <c r="N17" s="78"/>
      <c r="O17" s="89">
        <v>0.0</v>
      </c>
      <c r="P17" s="78"/>
      <c r="Q17" s="89">
        <v>80.0</v>
      </c>
      <c r="R17" s="78"/>
      <c r="S17" s="92">
        <v>80.0</v>
      </c>
      <c r="T17" s="78"/>
      <c r="U17" s="92">
        <v>80.0</v>
      </c>
      <c r="V17" s="78"/>
      <c r="W17" s="92">
        <v>80.0</v>
      </c>
      <c r="X17" s="78"/>
      <c r="Y17" s="92">
        <v>80.0</v>
      </c>
      <c r="Z17" s="78"/>
      <c r="AA17" s="73">
        <f t="shared" si="2"/>
        <v>910</v>
      </c>
    </row>
    <row r="18">
      <c r="A18" s="103" t="s">
        <v>85</v>
      </c>
      <c r="B18" s="103" t="s">
        <v>82</v>
      </c>
      <c r="C18" s="89">
        <v>0.0</v>
      </c>
      <c r="D18" s="104">
        <f>SUM(C18)</f>
        <v>0</v>
      </c>
      <c r="E18" s="89">
        <v>0.0</v>
      </c>
      <c r="F18" s="104">
        <f>SUM(E18)</f>
        <v>0</v>
      </c>
      <c r="G18" s="89">
        <v>0.0</v>
      </c>
      <c r="H18" s="104">
        <f>SUM(G18)</f>
        <v>0</v>
      </c>
      <c r="I18" s="89">
        <v>0.0</v>
      </c>
      <c r="J18" s="104">
        <f>SUM(I18)</f>
        <v>0</v>
      </c>
      <c r="K18" s="89">
        <v>0.0</v>
      </c>
      <c r="L18" s="104">
        <f>SUM(K18)</f>
        <v>0</v>
      </c>
      <c r="M18" s="89">
        <v>0.0</v>
      </c>
      <c r="N18" s="104">
        <f>SUM(M18)</f>
        <v>0</v>
      </c>
      <c r="O18" s="89">
        <v>0.0</v>
      </c>
      <c r="P18" s="104">
        <f>SUM(O18)</f>
        <v>0</v>
      </c>
      <c r="Q18" s="89">
        <v>0.0</v>
      </c>
      <c r="R18" s="104">
        <f>SUM(Q18)</f>
        <v>0</v>
      </c>
      <c r="S18" s="92">
        <v>0.0</v>
      </c>
      <c r="T18" s="104">
        <f>SUM(S18)</f>
        <v>0</v>
      </c>
      <c r="U18" s="92">
        <v>0.0</v>
      </c>
      <c r="V18" s="104">
        <f>SUM(U18)</f>
        <v>0</v>
      </c>
      <c r="W18" s="92">
        <v>0.0</v>
      </c>
      <c r="X18" s="104">
        <f>SUM(W18)</f>
        <v>0</v>
      </c>
      <c r="Y18" s="92">
        <v>0.0</v>
      </c>
      <c r="Z18" s="104">
        <f>SUM(Y18)</f>
        <v>0</v>
      </c>
      <c r="AA18" s="73">
        <f t="shared" si="2"/>
        <v>0</v>
      </c>
    </row>
    <row r="19">
      <c r="A19" s="108" t="s">
        <v>87</v>
      </c>
      <c r="B19" s="109" t="s">
        <v>88</v>
      </c>
      <c r="C19" s="89">
        <v>0.0</v>
      </c>
      <c r="D19" s="110">
        <f>SUM(C19:C20)</f>
        <v>550</v>
      </c>
      <c r="E19" s="89">
        <v>0.0</v>
      </c>
      <c r="F19" s="110">
        <f>SUM(E19:E20)</f>
        <v>0</v>
      </c>
      <c r="G19" s="89">
        <v>0.0</v>
      </c>
      <c r="H19" s="110">
        <f>SUM(G19:G20)</f>
        <v>0</v>
      </c>
      <c r="I19" s="89">
        <v>0.0</v>
      </c>
      <c r="J19" s="110">
        <f>SUM(I19:I20)</f>
        <v>0</v>
      </c>
      <c r="K19" s="89">
        <v>0.0</v>
      </c>
      <c r="L19" s="110">
        <f>SUM(K19:K20)</f>
        <v>0</v>
      </c>
      <c r="M19" s="89">
        <v>0.0</v>
      </c>
      <c r="N19" s="110">
        <f>SUM(M19:M20)</f>
        <v>0</v>
      </c>
      <c r="O19" s="89">
        <v>0.0</v>
      </c>
      <c r="P19" s="110">
        <f>SUM(O19:O20)</f>
        <v>0</v>
      </c>
      <c r="Q19" s="89">
        <v>0.0</v>
      </c>
      <c r="R19" s="110">
        <f>SUM(Q19:Q20)</f>
        <v>0</v>
      </c>
      <c r="S19" s="92">
        <v>0.0</v>
      </c>
      <c r="T19" s="110">
        <f>SUM(S19:S20)</f>
        <v>275</v>
      </c>
      <c r="U19" s="92">
        <v>0.0</v>
      </c>
      <c r="V19" s="110">
        <f>SUM(U19:U20)</f>
        <v>275</v>
      </c>
      <c r="W19" s="92">
        <v>0.0</v>
      </c>
      <c r="X19" s="110">
        <f>SUM(W19:W20)</f>
        <v>275</v>
      </c>
      <c r="Y19" s="92">
        <v>0.0</v>
      </c>
      <c r="Z19" s="110">
        <f>SUM(Y19:Y20)</f>
        <v>275</v>
      </c>
      <c r="AA19" s="73">
        <f t="shared" si="2"/>
        <v>1375</v>
      </c>
    </row>
    <row r="20">
      <c r="A20" s="78"/>
      <c r="B20" s="109" t="s">
        <v>90</v>
      </c>
      <c r="C20" s="89">
        <v>550.0</v>
      </c>
      <c r="D20" s="78"/>
      <c r="E20" s="89">
        <v>0.0</v>
      </c>
      <c r="F20" s="78"/>
      <c r="G20" s="89">
        <v>0.0</v>
      </c>
      <c r="H20" s="78"/>
      <c r="I20" s="89">
        <v>0.0</v>
      </c>
      <c r="J20" s="78"/>
      <c r="K20" s="89">
        <v>0.0</v>
      </c>
      <c r="L20" s="78"/>
      <c r="M20" s="89">
        <v>0.0</v>
      </c>
      <c r="N20" s="78"/>
      <c r="O20" s="89">
        <v>0.0</v>
      </c>
      <c r="P20" s="78"/>
      <c r="Q20" s="89">
        <v>0.0</v>
      </c>
      <c r="R20" s="78"/>
      <c r="S20" s="92">
        <v>275.0</v>
      </c>
      <c r="T20" s="78"/>
      <c r="U20" s="92">
        <v>275.0</v>
      </c>
      <c r="V20" s="78"/>
      <c r="W20" s="92">
        <v>275.0</v>
      </c>
      <c r="X20" s="78"/>
      <c r="Y20" s="92">
        <v>275.0</v>
      </c>
      <c r="Z20" s="78"/>
      <c r="AA20" s="73">
        <f t="shared" si="2"/>
        <v>1650</v>
      </c>
    </row>
    <row r="21">
      <c r="A21" s="111" t="s">
        <v>91</v>
      </c>
      <c r="B21" s="112" t="s">
        <v>42</v>
      </c>
      <c r="C21" s="89">
        <v>450.0</v>
      </c>
      <c r="D21" s="113">
        <f>SUM(C21)</f>
        <v>450</v>
      </c>
      <c r="E21" s="89">
        <v>550.0</v>
      </c>
      <c r="F21" s="113">
        <f>SUM(E21)</f>
        <v>550</v>
      </c>
      <c r="G21" s="89">
        <v>550.0</v>
      </c>
      <c r="H21" s="113">
        <f>SUM(G21)</f>
        <v>550</v>
      </c>
      <c r="I21" s="89">
        <v>550.0</v>
      </c>
      <c r="J21" s="113">
        <f>SUM(I21)</f>
        <v>550</v>
      </c>
      <c r="K21" s="89">
        <v>0.0</v>
      </c>
      <c r="L21" s="113">
        <f>SUM(K21)</f>
        <v>0</v>
      </c>
      <c r="M21" s="89">
        <v>550.0</v>
      </c>
      <c r="N21" s="113">
        <f>SUM(M21)</f>
        <v>550</v>
      </c>
      <c r="O21" s="89">
        <v>550.0</v>
      </c>
      <c r="P21" s="113">
        <f>SUM(O21)</f>
        <v>550</v>
      </c>
      <c r="Q21" s="92">
        <v>550.0</v>
      </c>
      <c r="R21" s="113">
        <f>SUM(Q21)</f>
        <v>550</v>
      </c>
      <c r="S21" s="92">
        <v>550.0</v>
      </c>
      <c r="T21" s="113">
        <f>SUM(S21)</f>
        <v>550</v>
      </c>
      <c r="U21" s="92">
        <v>550.0</v>
      </c>
      <c r="V21" s="113">
        <f>SUM(U21)</f>
        <v>550</v>
      </c>
      <c r="W21" s="92">
        <v>550.0</v>
      </c>
      <c r="X21" s="113">
        <f>SUM(W21)</f>
        <v>550</v>
      </c>
      <c r="Y21" s="92">
        <v>550.0</v>
      </c>
      <c r="Z21" s="113">
        <f>SUM(Y21)</f>
        <v>550</v>
      </c>
      <c r="AA21" s="73">
        <f t="shared" si="2"/>
        <v>11350</v>
      </c>
    </row>
    <row r="22">
      <c r="A22" s="117" t="s">
        <v>94</v>
      </c>
      <c r="B22" s="118" t="s">
        <v>95</v>
      </c>
      <c r="C22" s="89">
        <v>1000.0</v>
      </c>
      <c r="D22" s="119">
        <f>SUM(C22:C25)</f>
        <v>6778</v>
      </c>
      <c r="E22" s="89">
        <v>0.0</v>
      </c>
      <c r="F22" s="119">
        <f>SUM(E22:E24)</f>
        <v>0</v>
      </c>
      <c r="G22" s="89">
        <v>0.0</v>
      </c>
      <c r="H22" s="119">
        <f>SUM(G22:G23)</f>
        <v>0</v>
      </c>
      <c r="I22" s="89">
        <v>1250.0</v>
      </c>
      <c r="J22" s="119">
        <f>SUM(I22:I23)</f>
        <v>1250</v>
      </c>
      <c r="K22" s="89">
        <v>0.0</v>
      </c>
      <c r="L22" s="119">
        <f>SUM(K22:K23)</f>
        <v>0</v>
      </c>
      <c r="M22" s="89">
        <v>0.0</v>
      </c>
      <c r="N22" s="119">
        <f>SUM(M22:M23)</f>
        <v>0</v>
      </c>
      <c r="O22" s="89">
        <v>0.0</v>
      </c>
      <c r="P22" s="119">
        <f>SUM(O22:O23)</f>
        <v>0</v>
      </c>
      <c r="Q22" s="89">
        <v>0.0</v>
      </c>
      <c r="R22" s="119">
        <f>SUM(Q22:Q23)</f>
        <v>0</v>
      </c>
      <c r="S22" s="92">
        <v>0.0</v>
      </c>
      <c r="T22" s="119">
        <f>SUM(S22:S23)</f>
        <v>0</v>
      </c>
      <c r="U22" s="92">
        <v>0.0</v>
      </c>
      <c r="V22" s="119">
        <f>SUM(U22:U23)</f>
        <v>0</v>
      </c>
      <c r="W22" s="92">
        <v>0.0</v>
      </c>
      <c r="X22" s="119">
        <f>SUM(W22:W23)</f>
        <v>0</v>
      </c>
      <c r="Y22" s="92">
        <v>0.0</v>
      </c>
      <c r="Z22" s="119">
        <f>SUM(Y22:Y23)</f>
        <v>0</v>
      </c>
      <c r="AA22" s="73">
        <f t="shared" si="2"/>
        <v>10278</v>
      </c>
    </row>
    <row r="23">
      <c r="A23" s="74"/>
      <c r="B23" s="118" t="s">
        <v>97</v>
      </c>
      <c r="C23" s="89">
        <v>3000.0</v>
      </c>
      <c r="D23" s="74"/>
      <c r="E23" s="89">
        <v>0.0</v>
      </c>
      <c r="F23" s="74"/>
      <c r="G23" s="89">
        <v>0.0</v>
      </c>
      <c r="H23" s="78"/>
      <c r="I23" s="89">
        <v>0.0</v>
      </c>
      <c r="J23" s="78"/>
      <c r="K23" s="89">
        <v>0.0</v>
      </c>
      <c r="L23" s="78"/>
      <c r="M23" s="89">
        <v>0.0</v>
      </c>
      <c r="N23" s="78"/>
      <c r="O23" s="89">
        <v>0.0</v>
      </c>
      <c r="P23" s="78"/>
      <c r="Q23" s="89">
        <v>0.0</v>
      </c>
      <c r="R23" s="78"/>
      <c r="S23" s="92">
        <v>0.0</v>
      </c>
      <c r="T23" s="78"/>
      <c r="U23" s="92">
        <v>0.0</v>
      </c>
      <c r="V23" s="78"/>
      <c r="W23" s="92">
        <v>0.0</v>
      </c>
      <c r="X23" s="78"/>
      <c r="Y23" s="92">
        <v>0.0</v>
      </c>
      <c r="Z23" s="78"/>
      <c r="AA23" s="73">
        <f t="shared" si="2"/>
        <v>3000</v>
      </c>
    </row>
    <row r="24">
      <c r="A24" s="74"/>
      <c r="B24" s="118" t="s">
        <v>98</v>
      </c>
      <c r="C24" s="89">
        <v>2378.0</v>
      </c>
      <c r="D24" s="74"/>
      <c r="E24" s="89">
        <v>0.0</v>
      </c>
      <c r="F24" s="78"/>
      <c r="G24" s="89">
        <v>0.0</v>
      </c>
      <c r="H24" s="120"/>
      <c r="I24" s="89">
        <v>0.0</v>
      </c>
      <c r="J24" s="120"/>
      <c r="K24" s="89">
        <v>0.0</v>
      </c>
      <c r="L24" s="120"/>
      <c r="M24" s="89">
        <v>0.0</v>
      </c>
      <c r="N24" s="120"/>
      <c r="O24" s="89">
        <v>0.0</v>
      </c>
      <c r="P24" s="120"/>
      <c r="Q24" s="89">
        <v>0.0</v>
      </c>
      <c r="R24" s="120"/>
      <c r="S24" s="92">
        <v>0.0</v>
      </c>
      <c r="T24" s="120"/>
      <c r="U24" s="92">
        <v>0.0</v>
      </c>
      <c r="V24" s="89">
        <v>0.0</v>
      </c>
      <c r="W24" s="92">
        <v>0.0</v>
      </c>
      <c r="X24" s="89">
        <v>0.0</v>
      </c>
      <c r="Y24" s="92">
        <v>0.0</v>
      </c>
      <c r="Z24" s="89">
        <v>0.0</v>
      </c>
      <c r="AA24" s="95"/>
    </row>
    <row r="25">
      <c r="A25" s="78"/>
      <c r="B25" s="118" t="s">
        <v>100</v>
      </c>
      <c r="C25" s="89">
        <v>400.0</v>
      </c>
      <c r="D25" s="78"/>
      <c r="E25" s="89">
        <v>0.0</v>
      </c>
      <c r="F25" s="120"/>
      <c r="G25" s="89">
        <v>0.0</v>
      </c>
      <c r="H25" s="120"/>
      <c r="I25" s="89">
        <v>700.0</v>
      </c>
      <c r="J25" s="120"/>
      <c r="K25" s="89">
        <v>700.0</v>
      </c>
      <c r="L25" s="120"/>
      <c r="M25" s="89">
        <v>700.0</v>
      </c>
      <c r="N25" s="120"/>
      <c r="O25" s="89">
        <v>700.0</v>
      </c>
      <c r="P25" s="120"/>
      <c r="Q25" s="89">
        <v>700.0</v>
      </c>
      <c r="R25" s="120"/>
      <c r="S25" s="92">
        <v>700.0</v>
      </c>
      <c r="T25" s="120"/>
      <c r="U25" s="92">
        <v>700.0</v>
      </c>
      <c r="V25" s="89">
        <v>0.0</v>
      </c>
      <c r="W25" s="92">
        <v>700.0</v>
      </c>
      <c r="X25" s="89">
        <v>0.0</v>
      </c>
      <c r="Y25" s="92">
        <v>700.0</v>
      </c>
      <c r="Z25" s="89">
        <v>0.0</v>
      </c>
      <c r="AA25" s="95"/>
    </row>
    <row r="26">
      <c r="A26" s="121"/>
      <c r="B26" s="118" t="s">
        <v>101</v>
      </c>
      <c r="C26" s="89">
        <v>210.0</v>
      </c>
      <c r="D26" s="120"/>
      <c r="E26" s="89"/>
      <c r="F26" s="120"/>
      <c r="G26" s="89">
        <v>237.0</v>
      </c>
      <c r="H26" s="120"/>
      <c r="I26" s="89">
        <v>237.0</v>
      </c>
      <c r="J26" s="120"/>
      <c r="K26" s="89">
        <v>237.0</v>
      </c>
      <c r="L26" s="120"/>
      <c r="M26" s="89">
        <v>237.0</v>
      </c>
      <c r="N26" s="120"/>
      <c r="O26" s="89">
        <v>237.0</v>
      </c>
      <c r="P26" s="120"/>
      <c r="Q26" s="92">
        <v>237.0</v>
      </c>
      <c r="R26" s="120"/>
      <c r="S26" s="92">
        <v>237.0</v>
      </c>
      <c r="T26" s="120"/>
      <c r="U26" s="92">
        <v>237.0</v>
      </c>
      <c r="V26" s="89"/>
      <c r="W26" s="92">
        <v>237.0</v>
      </c>
      <c r="X26" s="89"/>
      <c r="Y26" s="92"/>
      <c r="Z26" s="89"/>
      <c r="AA26" s="95"/>
    </row>
    <row r="27">
      <c r="A27" s="124" t="s">
        <v>103</v>
      </c>
      <c r="B27" s="123" t="s">
        <v>105</v>
      </c>
      <c r="C27" s="89">
        <v>902.0</v>
      </c>
      <c r="D27" s="125">
        <f>SUM(C27)</f>
        <v>902</v>
      </c>
      <c r="E27" s="89">
        <v>910.0</v>
      </c>
      <c r="F27" s="125">
        <f>SUM(E27)</f>
        <v>910</v>
      </c>
      <c r="G27" s="89">
        <v>920.0</v>
      </c>
      <c r="H27" s="125">
        <f>SUM(G27)</f>
        <v>920</v>
      </c>
      <c r="I27" s="89">
        <v>920.0</v>
      </c>
      <c r="J27" s="125">
        <f>SUM(I27)</f>
        <v>920</v>
      </c>
      <c r="K27" s="89">
        <v>920.0</v>
      </c>
      <c r="L27" s="125">
        <f>SUM(K27)</f>
        <v>920</v>
      </c>
      <c r="M27" s="89">
        <v>1700.0</v>
      </c>
      <c r="N27" s="125">
        <f>SUM(M27)</f>
        <v>1700</v>
      </c>
      <c r="O27" s="89">
        <v>920.0</v>
      </c>
      <c r="P27" s="125">
        <f t="shared" ref="P27:P28" si="3">SUM(O27)</f>
        <v>920</v>
      </c>
      <c r="Q27" s="92">
        <v>900.0</v>
      </c>
      <c r="R27" s="125">
        <f t="shared" ref="R27:R28" si="4">SUM(Q27)</f>
        <v>900</v>
      </c>
      <c r="S27" s="92">
        <v>920.0</v>
      </c>
      <c r="T27" s="125">
        <f t="shared" ref="T27:T28" si="5">SUM(S27)</f>
        <v>920</v>
      </c>
      <c r="U27" s="92">
        <v>920.0</v>
      </c>
      <c r="V27" s="125">
        <f t="shared" ref="V27:V28" si="6">SUM(U27)</f>
        <v>920</v>
      </c>
      <c r="W27" s="92">
        <v>920.0</v>
      </c>
      <c r="X27" s="125">
        <f t="shared" ref="X27:X28" si="7">SUM(W27)</f>
        <v>920</v>
      </c>
      <c r="Y27" s="92">
        <v>920.0</v>
      </c>
      <c r="Z27" s="125">
        <f t="shared" ref="Z27:Z28" si="8">SUM(Y27)</f>
        <v>920</v>
      </c>
      <c r="AA27" s="95"/>
    </row>
    <row r="28">
      <c r="A28" s="78"/>
      <c r="B28" s="123" t="s">
        <v>109</v>
      </c>
      <c r="C28" s="89">
        <v>0.0</v>
      </c>
      <c r="D28" s="125">
        <v>0.0</v>
      </c>
      <c r="E28" s="89"/>
      <c r="F28" s="125"/>
      <c r="G28" s="89"/>
      <c r="H28" s="125"/>
      <c r="I28" s="89"/>
      <c r="J28" s="125"/>
      <c r="K28" s="89"/>
      <c r="L28" s="125"/>
      <c r="M28" s="89"/>
      <c r="N28" s="125"/>
      <c r="O28" s="89">
        <v>900.0</v>
      </c>
      <c r="P28" s="125">
        <f t="shared" si="3"/>
        <v>900</v>
      </c>
      <c r="Q28" s="92">
        <v>900.0</v>
      </c>
      <c r="R28" s="125">
        <f t="shared" si="4"/>
        <v>900</v>
      </c>
      <c r="S28" s="92">
        <v>900.0</v>
      </c>
      <c r="T28" s="125">
        <f t="shared" si="5"/>
        <v>900</v>
      </c>
      <c r="U28" s="92">
        <v>900.0</v>
      </c>
      <c r="V28" s="125">
        <f t="shared" si="6"/>
        <v>900</v>
      </c>
      <c r="W28" s="92">
        <v>900.0</v>
      </c>
      <c r="X28" s="125">
        <f t="shared" si="7"/>
        <v>900</v>
      </c>
      <c r="Y28" s="92">
        <v>900.0</v>
      </c>
      <c r="Z28" s="125">
        <f t="shared" si="8"/>
        <v>900</v>
      </c>
      <c r="AA28" s="95"/>
    </row>
    <row r="29">
      <c r="A29" s="105" t="s">
        <v>108</v>
      </c>
      <c r="B29" s="106" t="s">
        <v>89</v>
      </c>
      <c r="C29" s="89">
        <v>256.0</v>
      </c>
      <c r="D29" s="107">
        <f>(C29+C30+C31)</f>
        <v>1074</v>
      </c>
      <c r="E29" s="89">
        <v>256.0</v>
      </c>
      <c r="F29" s="107">
        <f>(E29+E30+E31)</f>
        <v>1074</v>
      </c>
      <c r="G29" s="89">
        <v>256.0</v>
      </c>
      <c r="H29" s="107">
        <f>(G29+G30+G31)</f>
        <v>1074</v>
      </c>
      <c r="I29" s="89">
        <v>256.0</v>
      </c>
      <c r="J29" s="107">
        <f>(I29+I30+I31)</f>
        <v>1074</v>
      </c>
      <c r="K29" s="89">
        <v>256.0</v>
      </c>
      <c r="L29" s="107">
        <f>(K29+K30+K31)</f>
        <v>1074</v>
      </c>
      <c r="M29" s="89">
        <v>256.0</v>
      </c>
      <c r="N29" s="107">
        <f>(M29+M30+M31)</f>
        <v>1074</v>
      </c>
      <c r="O29" s="89">
        <v>256.0</v>
      </c>
      <c r="P29" s="107">
        <f>(O29+O30+O31)</f>
        <v>1074</v>
      </c>
      <c r="Q29" s="92">
        <v>256.0</v>
      </c>
      <c r="R29" s="107">
        <f>(Q29+Q30+Q31)</f>
        <v>1074</v>
      </c>
      <c r="S29" s="92">
        <v>256.0</v>
      </c>
      <c r="T29" s="107">
        <f>(S29+S30+S31)</f>
        <v>1074</v>
      </c>
      <c r="U29" s="92">
        <v>256.0</v>
      </c>
      <c r="V29" s="107">
        <f>(U29+U30+U31)</f>
        <v>1074</v>
      </c>
      <c r="W29" s="92">
        <v>256.0</v>
      </c>
      <c r="X29" s="107">
        <f>(W29+W30+W31)</f>
        <v>1074</v>
      </c>
      <c r="Y29" s="92">
        <v>256.0</v>
      </c>
      <c r="Z29" s="107">
        <f>(Y29+Y30+Y31)</f>
        <v>1074</v>
      </c>
      <c r="AA29" s="127">
        <f>SUM(C29:Y29)</f>
        <v>14886</v>
      </c>
    </row>
    <row r="30">
      <c r="A30" s="74"/>
      <c r="B30" s="106" t="s">
        <v>111</v>
      </c>
      <c r="C30" s="89">
        <v>440.0</v>
      </c>
      <c r="D30" s="74"/>
      <c r="E30" s="89">
        <v>440.0</v>
      </c>
      <c r="F30" s="74"/>
      <c r="G30" s="89">
        <v>440.0</v>
      </c>
      <c r="H30" s="74"/>
      <c r="I30" s="89">
        <v>440.0</v>
      </c>
      <c r="J30" s="74"/>
      <c r="K30" s="89">
        <v>440.0</v>
      </c>
      <c r="L30" s="74"/>
      <c r="M30" s="89">
        <v>440.0</v>
      </c>
      <c r="N30" s="74"/>
      <c r="O30" s="89">
        <v>440.0</v>
      </c>
      <c r="P30" s="74"/>
      <c r="Q30" s="92">
        <v>440.0</v>
      </c>
      <c r="R30" s="74"/>
      <c r="S30" s="92">
        <v>440.0</v>
      </c>
      <c r="T30" s="74"/>
      <c r="U30" s="92">
        <v>440.0</v>
      </c>
      <c r="V30" s="74"/>
      <c r="W30" s="92">
        <v>440.0</v>
      </c>
      <c r="X30" s="74"/>
      <c r="Y30" s="92">
        <v>440.0</v>
      </c>
      <c r="Z30" s="74"/>
      <c r="AA30" s="74"/>
    </row>
    <row r="31">
      <c r="A31" s="78"/>
      <c r="B31" s="106" t="s">
        <v>53</v>
      </c>
      <c r="C31" s="89">
        <v>378.0</v>
      </c>
      <c r="D31" s="78"/>
      <c r="E31" s="89">
        <v>378.0</v>
      </c>
      <c r="F31" s="78"/>
      <c r="G31" s="89">
        <v>378.0</v>
      </c>
      <c r="H31" s="78"/>
      <c r="I31" s="89">
        <v>378.0</v>
      </c>
      <c r="J31" s="78"/>
      <c r="K31" s="89">
        <v>378.0</v>
      </c>
      <c r="L31" s="78"/>
      <c r="M31" s="89">
        <v>378.0</v>
      </c>
      <c r="N31" s="78"/>
      <c r="O31" s="89">
        <v>378.0</v>
      </c>
      <c r="P31" s="78"/>
      <c r="Q31" s="89">
        <v>378.0</v>
      </c>
      <c r="R31" s="78"/>
      <c r="S31" s="92">
        <v>378.0</v>
      </c>
      <c r="T31" s="78"/>
      <c r="U31" s="92">
        <v>378.0</v>
      </c>
      <c r="V31" s="78"/>
      <c r="W31" s="92">
        <v>378.0</v>
      </c>
      <c r="X31" s="78"/>
      <c r="Y31" s="92">
        <v>378.0</v>
      </c>
      <c r="Z31" s="78"/>
      <c r="AA31" s="78"/>
    </row>
    <row r="32">
      <c r="A32" s="124" t="s">
        <v>107</v>
      </c>
      <c r="B32" s="123" t="s">
        <v>10</v>
      </c>
      <c r="C32" s="89">
        <v>530.0</v>
      </c>
      <c r="D32" s="126">
        <f>SUM(C32:C33)</f>
        <v>718</v>
      </c>
      <c r="E32" s="89">
        <v>530.0</v>
      </c>
      <c r="F32" s="126">
        <f>SUM(E32:E33)</f>
        <v>718</v>
      </c>
      <c r="G32" s="89">
        <v>530.0</v>
      </c>
      <c r="H32" s="126">
        <f>SUM(G32:G33)</f>
        <v>718</v>
      </c>
      <c r="I32" s="89">
        <v>530.0</v>
      </c>
      <c r="J32" s="126">
        <f>SUM(I32:I33)</f>
        <v>718</v>
      </c>
      <c r="K32" s="89">
        <v>545.0</v>
      </c>
      <c r="L32" s="126">
        <f>SUM(K32:K33)</f>
        <v>760</v>
      </c>
      <c r="M32" s="89">
        <v>530.0</v>
      </c>
      <c r="N32" s="126">
        <f>SUM(M32:M33)</f>
        <v>718</v>
      </c>
      <c r="O32" s="89">
        <v>530.0</v>
      </c>
      <c r="P32" s="126">
        <f>SUM(O32:O33)</f>
        <v>718</v>
      </c>
      <c r="Q32" s="92">
        <v>545.0</v>
      </c>
      <c r="R32" s="126">
        <f>SUM(Q32:Q33)</f>
        <v>760</v>
      </c>
      <c r="S32" s="92">
        <v>545.0</v>
      </c>
      <c r="T32" s="126">
        <f>SUM(S32:S33)</f>
        <v>760</v>
      </c>
      <c r="U32" s="92">
        <v>545.0</v>
      </c>
      <c r="V32" s="126">
        <f>SUM(U32:U33)</f>
        <v>760</v>
      </c>
      <c r="W32" s="92">
        <v>545.0</v>
      </c>
      <c r="X32" s="126">
        <f>SUM(W32:W33)</f>
        <v>760</v>
      </c>
      <c r="Y32" s="92">
        <v>545.0</v>
      </c>
      <c r="Z32" s="126">
        <f>SUM(Y32:Y33)</f>
        <v>760</v>
      </c>
      <c r="AA32" s="73">
        <f t="shared" ref="AA32:AA33" si="9">SUM(C32:Y32)</f>
        <v>14558</v>
      </c>
    </row>
    <row r="33">
      <c r="A33" s="78"/>
      <c r="B33" s="123" t="s">
        <v>110</v>
      </c>
      <c r="C33" s="89">
        <v>188.0</v>
      </c>
      <c r="D33" s="78"/>
      <c r="E33" s="89">
        <v>188.0</v>
      </c>
      <c r="F33" s="78"/>
      <c r="G33" s="89">
        <v>188.0</v>
      </c>
      <c r="H33" s="78"/>
      <c r="I33" s="89">
        <v>188.0</v>
      </c>
      <c r="J33" s="78"/>
      <c r="K33" s="89">
        <v>215.0</v>
      </c>
      <c r="L33" s="78"/>
      <c r="M33" s="89">
        <v>188.0</v>
      </c>
      <c r="N33" s="78"/>
      <c r="O33" s="89">
        <v>188.0</v>
      </c>
      <c r="P33" s="78"/>
      <c r="Q33" s="92">
        <v>215.0</v>
      </c>
      <c r="R33" s="78"/>
      <c r="S33" s="92">
        <v>215.0</v>
      </c>
      <c r="T33" s="78"/>
      <c r="U33" s="92">
        <v>215.0</v>
      </c>
      <c r="V33" s="78"/>
      <c r="W33" s="92">
        <v>215.0</v>
      </c>
      <c r="X33" s="78"/>
      <c r="Y33" s="92">
        <v>215.0</v>
      </c>
      <c r="Z33" s="78"/>
      <c r="AA33" s="73">
        <f t="shared" si="9"/>
        <v>2418</v>
      </c>
    </row>
    <row r="34">
      <c r="D34" s="31"/>
      <c r="F34" s="31"/>
      <c r="H34" s="31"/>
      <c r="J34" s="31"/>
      <c r="L34" s="31"/>
    </row>
    <row r="38">
      <c r="A38" s="132"/>
      <c r="B38" s="133" t="s">
        <v>120</v>
      </c>
      <c r="C38" s="134" t="s">
        <v>121</v>
      </c>
      <c r="E38" s="134" t="s">
        <v>122</v>
      </c>
      <c r="G38" s="10"/>
      <c r="H38" s="135" t="s">
        <v>123</v>
      </c>
      <c r="J38" s="135" t="s">
        <v>122</v>
      </c>
    </row>
    <row r="39">
      <c r="A39" s="133" t="s">
        <v>124</v>
      </c>
      <c r="B39" s="136">
        <f>(J44-E63-B45)</f>
        <v>26003</v>
      </c>
      <c r="C39" s="137" t="s">
        <v>50</v>
      </c>
      <c r="E39" s="138">
        <v>14600.0</v>
      </c>
      <c r="G39" s="139"/>
      <c r="H39" s="137" t="s">
        <v>125</v>
      </c>
      <c r="J39" s="138">
        <v>30000.0</v>
      </c>
    </row>
    <row r="40">
      <c r="A40" s="139"/>
      <c r="B40" s="139"/>
      <c r="C40" s="10" t="s">
        <v>5</v>
      </c>
      <c r="E40" s="140">
        <v>554.0</v>
      </c>
      <c r="G40" s="139"/>
      <c r="H40" s="10" t="s">
        <v>125</v>
      </c>
      <c r="J40" s="140">
        <v>4558.0</v>
      </c>
    </row>
    <row r="41">
      <c r="A41" s="141"/>
      <c r="B41" s="142" t="s">
        <v>126</v>
      </c>
      <c r="C41" s="137" t="s">
        <v>127</v>
      </c>
      <c r="E41" s="138">
        <v>0.0</v>
      </c>
      <c r="G41" s="139"/>
      <c r="H41" s="137"/>
      <c r="J41" s="138"/>
    </row>
    <row r="42">
      <c r="A42" s="142" t="s">
        <v>129</v>
      </c>
      <c r="B42" s="143">
        <f>(B39-E44)</f>
        <v>10849</v>
      </c>
      <c r="C42" s="10" t="s">
        <v>130</v>
      </c>
      <c r="E42" s="140">
        <v>0.0</v>
      </c>
      <c r="G42" s="139"/>
      <c r="H42" s="10"/>
      <c r="J42" s="140"/>
    </row>
    <row r="43">
      <c r="A43" s="139"/>
      <c r="B43" s="139"/>
      <c r="C43" s="137" t="s">
        <v>131</v>
      </c>
      <c r="E43" s="138">
        <v>0.0</v>
      </c>
      <c r="G43" s="139"/>
      <c r="H43" s="137"/>
      <c r="J43" s="138"/>
    </row>
    <row r="44">
      <c r="A44" s="141"/>
      <c r="B44" s="142" t="s">
        <v>126</v>
      </c>
      <c r="C44" s="9" t="s">
        <v>15</v>
      </c>
      <c r="E44" s="144">
        <f>SUM(E39:F43)</f>
        <v>15154</v>
      </c>
      <c r="G44" s="139"/>
      <c r="H44" s="134" t="s">
        <v>15</v>
      </c>
      <c r="J44" s="145">
        <f>SUM(J39:K43)</f>
        <v>34558</v>
      </c>
    </row>
    <row r="45">
      <c r="A45" s="142" t="s">
        <v>134</v>
      </c>
      <c r="B45" s="150">
        <v>3900.0</v>
      </c>
      <c r="C45" s="139"/>
      <c r="D45" s="139"/>
      <c r="E45" s="139"/>
      <c r="F45" s="139"/>
      <c r="G45" s="139"/>
    </row>
    <row r="46">
      <c r="C46" s="146" t="s">
        <v>132</v>
      </c>
      <c r="E46" s="146" t="s">
        <v>133</v>
      </c>
    </row>
    <row r="47">
      <c r="C47" s="147">
        <v>45997.0</v>
      </c>
      <c r="E47" s="138">
        <v>60.0</v>
      </c>
    </row>
    <row r="48">
      <c r="C48" s="148">
        <v>46003.0</v>
      </c>
      <c r="E48" s="140">
        <v>50.0</v>
      </c>
    </row>
    <row r="49">
      <c r="C49" s="149">
        <v>46003.0</v>
      </c>
      <c r="E49" s="138">
        <v>50.0</v>
      </c>
    </row>
    <row r="50">
      <c r="C50" s="148">
        <v>46004.0</v>
      </c>
      <c r="E50" s="140">
        <v>130.0</v>
      </c>
    </row>
    <row r="51">
      <c r="C51" s="149">
        <v>46019.0</v>
      </c>
      <c r="E51" s="138">
        <v>111.0</v>
      </c>
    </row>
    <row r="52">
      <c r="C52" s="149">
        <v>46071.0</v>
      </c>
      <c r="E52" s="138">
        <v>500.0</v>
      </c>
    </row>
    <row r="53">
      <c r="C53" s="149">
        <v>45011.0</v>
      </c>
      <c r="E53" s="138">
        <v>100.0</v>
      </c>
      <c r="G53" s="31" t="s">
        <v>98</v>
      </c>
    </row>
    <row r="54">
      <c r="C54" s="149">
        <v>46112.0</v>
      </c>
      <c r="E54" s="138">
        <v>350.0</v>
      </c>
      <c r="G54" s="31" t="s">
        <v>136</v>
      </c>
    </row>
    <row r="55">
      <c r="C55" s="149">
        <v>46129.0</v>
      </c>
      <c r="E55" s="138">
        <v>127.0</v>
      </c>
      <c r="G55" s="31" t="s">
        <v>137</v>
      </c>
    </row>
    <row r="56">
      <c r="C56" s="149">
        <v>46136.0</v>
      </c>
      <c r="E56" s="138">
        <v>50.0</v>
      </c>
      <c r="G56" s="31"/>
    </row>
    <row r="57">
      <c r="C57" s="149">
        <v>46154.0</v>
      </c>
      <c r="E57" s="138">
        <v>650.0</v>
      </c>
      <c r="G57" s="31" t="s">
        <v>138</v>
      </c>
    </row>
    <row r="58">
      <c r="C58" s="149">
        <v>46158.0</v>
      </c>
      <c r="E58" s="138">
        <v>550.0</v>
      </c>
      <c r="G58" s="31" t="s">
        <v>136</v>
      </c>
    </row>
    <row r="59">
      <c r="C59" s="149">
        <v>46165.0</v>
      </c>
      <c r="E59" s="138">
        <v>285.0</v>
      </c>
      <c r="G59" s="31" t="s">
        <v>139</v>
      </c>
    </row>
    <row r="60">
      <c r="C60" s="149">
        <v>46177.0</v>
      </c>
      <c r="E60" s="138">
        <v>1182.0</v>
      </c>
      <c r="G60" s="31" t="s">
        <v>140</v>
      </c>
    </row>
    <row r="61">
      <c r="C61" s="149">
        <v>46178.0</v>
      </c>
      <c r="E61" s="138">
        <v>100.0</v>
      </c>
      <c r="G61" s="31" t="s">
        <v>141</v>
      </c>
    </row>
    <row r="62">
      <c r="C62" s="149">
        <v>46183.0</v>
      </c>
      <c r="E62" s="138">
        <v>360.0</v>
      </c>
      <c r="G62" s="31" t="s">
        <v>142</v>
      </c>
    </row>
    <row r="63">
      <c r="C63" s="151" t="s">
        <v>15</v>
      </c>
      <c r="E63" s="152">
        <f>SUM(E47:F62)</f>
        <v>4655</v>
      </c>
    </row>
  </sheetData>
  <mergeCells count="267">
    <mergeCell ref="O1:P1"/>
    <mergeCell ref="Q1:R1"/>
    <mergeCell ref="S1:T1"/>
    <mergeCell ref="U1:V1"/>
    <mergeCell ref="W1:X1"/>
    <mergeCell ref="Y1:Z1"/>
    <mergeCell ref="K2:L2"/>
    <mergeCell ref="M2:N2"/>
    <mergeCell ref="O2:P2"/>
    <mergeCell ref="Q2:R2"/>
    <mergeCell ref="S2:T2"/>
    <mergeCell ref="U2:V2"/>
    <mergeCell ref="W2:X2"/>
    <mergeCell ref="Y2:Z2"/>
    <mergeCell ref="A1:B2"/>
    <mergeCell ref="C1:D1"/>
    <mergeCell ref="E1:F1"/>
    <mergeCell ref="G1:H1"/>
    <mergeCell ref="I1:J1"/>
    <mergeCell ref="K1:L1"/>
    <mergeCell ref="M1:N1"/>
    <mergeCell ref="Q3:R3"/>
    <mergeCell ref="S3:T3"/>
    <mergeCell ref="U3:V3"/>
    <mergeCell ref="W3:X3"/>
    <mergeCell ref="Y3:Z3"/>
    <mergeCell ref="G2:H2"/>
    <mergeCell ref="I2:J2"/>
    <mergeCell ref="G3:H3"/>
    <mergeCell ref="I3:J3"/>
    <mergeCell ref="K3:L3"/>
    <mergeCell ref="M3:N3"/>
    <mergeCell ref="O3:P3"/>
    <mergeCell ref="U4:V4"/>
    <mergeCell ref="W4:X4"/>
    <mergeCell ref="Y4:Z4"/>
    <mergeCell ref="G4:H4"/>
    <mergeCell ref="I4:J4"/>
    <mergeCell ref="K4:L4"/>
    <mergeCell ref="M4:N4"/>
    <mergeCell ref="O4:P4"/>
    <mergeCell ref="Q4:R4"/>
    <mergeCell ref="S4:T4"/>
    <mergeCell ref="Q5:R5"/>
    <mergeCell ref="S5:T5"/>
    <mergeCell ref="U5:V5"/>
    <mergeCell ref="W5:X5"/>
    <mergeCell ref="Y5:Z5"/>
    <mergeCell ref="C5:D5"/>
    <mergeCell ref="E5:F5"/>
    <mergeCell ref="G5:H5"/>
    <mergeCell ref="I5:J5"/>
    <mergeCell ref="K5:L5"/>
    <mergeCell ref="M5:N5"/>
    <mergeCell ref="O5:P5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O6:P6"/>
    <mergeCell ref="Q7:R7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C2:D2"/>
    <mergeCell ref="E2:F2"/>
    <mergeCell ref="A3:A7"/>
    <mergeCell ref="C3:D3"/>
    <mergeCell ref="E3:F3"/>
    <mergeCell ref="C4:D4"/>
    <mergeCell ref="E4:F4"/>
    <mergeCell ref="O8:P8"/>
    <mergeCell ref="Q8:R8"/>
    <mergeCell ref="S8:T8"/>
    <mergeCell ref="U8:V8"/>
    <mergeCell ref="W8:X8"/>
    <mergeCell ref="Y8:Z8"/>
    <mergeCell ref="A8:B8"/>
    <mergeCell ref="C8:D8"/>
    <mergeCell ref="E8:F8"/>
    <mergeCell ref="G8:H8"/>
    <mergeCell ref="I8:J8"/>
    <mergeCell ref="K8:L8"/>
    <mergeCell ref="M8:N8"/>
    <mergeCell ref="Q9:R9"/>
    <mergeCell ref="S9:T9"/>
    <mergeCell ref="U9:V9"/>
    <mergeCell ref="W9:X9"/>
    <mergeCell ref="Y9:Z9"/>
    <mergeCell ref="AA9:AB9"/>
    <mergeCell ref="C9:D9"/>
    <mergeCell ref="E9:F9"/>
    <mergeCell ref="G9:H9"/>
    <mergeCell ref="I9:J9"/>
    <mergeCell ref="K9:L9"/>
    <mergeCell ref="M9:N9"/>
    <mergeCell ref="O9:P9"/>
    <mergeCell ref="F10:F12"/>
    <mergeCell ref="F13:F14"/>
    <mergeCell ref="J10:J12"/>
    <mergeCell ref="J13:J14"/>
    <mergeCell ref="X10:X12"/>
    <mergeCell ref="X13:X14"/>
    <mergeCell ref="R10:R12"/>
    <mergeCell ref="T10:T12"/>
    <mergeCell ref="V10:V12"/>
    <mergeCell ref="Z10:Z12"/>
    <mergeCell ref="R13:R14"/>
    <mergeCell ref="T13:T14"/>
    <mergeCell ref="V13:V14"/>
    <mergeCell ref="Z13:Z14"/>
    <mergeCell ref="D10:D12"/>
    <mergeCell ref="H10:H12"/>
    <mergeCell ref="L10:L12"/>
    <mergeCell ref="P10:P12"/>
    <mergeCell ref="H13:H14"/>
    <mergeCell ref="L13:L14"/>
    <mergeCell ref="P13:P14"/>
    <mergeCell ref="X15:X17"/>
    <mergeCell ref="Z15:Z17"/>
    <mergeCell ref="X19:X20"/>
    <mergeCell ref="Z19:Z20"/>
    <mergeCell ref="N10:N12"/>
    <mergeCell ref="N13:N14"/>
    <mergeCell ref="N15:N17"/>
    <mergeCell ref="P15:P17"/>
    <mergeCell ref="R15:R17"/>
    <mergeCell ref="T15:T17"/>
    <mergeCell ref="V15:V17"/>
    <mergeCell ref="L15:L17"/>
    <mergeCell ref="L19:L20"/>
    <mergeCell ref="N19:N20"/>
    <mergeCell ref="P19:P20"/>
    <mergeCell ref="R19:R20"/>
    <mergeCell ref="T19:T20"/>
    <mergeCell ref="V19:V20"/>
    <mergeCell ref="D13:D14"/>
    <mergeCell ref="A15:A17"/>
    <mergeCell ref="F15:F17"/>
    <mergeCell ref="J15:J17"/>
    <mergeCell ref="A19:A20"/>
    <mergeCell ref="F19:F20"/>
    <mergeCell ref="J19:J20"/>
    <mergeCell ref="R22:R23"/>
    <mergeCell ref="T22:T23"/>
    <mergeCell ref="V22:V23"/>
    <mergeCell ref="X22:X23"/>
    <mergeCell ref="Z22:Z23"/>
    <mergeCell ref="H15:H17"/>
    <mergeCell ref="H19:H20"/>
    <mergeCell ref="H22:H23"/>
    <mergeCell ref="J22:J23"/>
    <mergeCell ref="L22:L23"/>
    <mergeCell ref="N22:N23"/>
    <mergeCell ref="P22:P23"/>
    <mergeCell ref="R29:R31"/>
    <mergeCell ref="T29:T31"/>
    <mergeCell ref="V29:V31"/>
    <mergeCell ref="X29:X31"/>
    <mergeCell ref="Z29:Z31"/>
    <mergeCell ref="AA29:AA31"/>
    <mergeCell ref="D29:D31"/>
    <mergeCell ref="F29:F31"/>
    <mergeCell ref="H29:H31"/>
    <mergeCell ref="J29:J31"/>
    <mergeCell ref="L29:L31"/>
    <mergeCell ref="N29:N31"/>
    <mergeCell ref="P29:P31"/>
    <mergeCell ref="P32:P33"/>
    <mergeCell ref="R32:R33"/>
    <mergeCell ref="T32:T33"/>
    <mergeCell ref="V32:V33"/>
    <mergeCell ref="X32:X33"/>
    <mergeCell ref="Z32:Z33"/>
    <mergeCell ref="A32:A33"/>
    <mergeCell ref="D32:D33"/>
    <mergeCell ref="F32:F33"/>
    <mergeCell ref="H32:H33"/>
    <mergeCell ref="J32:J33"/>
    <mergeCell ref="L32:L33"/>
    <mergeCell ref="N32:N33"/>
    <mergeCell ref="D15:D17"/>
    <mergeCell ref="D19:D20"/>
    <mergeCell ref="A22:A25"/>
    <mergeCell ref="D22:D25"/>
    <mergeCell ref="F22:F24"/>
    <mergeCell ref="A27:A28"/>
    <mergeCell ref="A29:A31"/>
    <mergeCell ref="H41:I41"/>
    <mergeCell ref="J41:K41"/>
    <mergeCell ref="C42:D42"/>
    <mergeCell ref="E42:F42"/>
    <mergeCell ref="H42:I42"/>
    <mergeCell ref="J42:K42"/>
    <mergeCell ref="E60:F60"/>
    <mergeCell ref="E61:F61"/>
    <mergeCell ref="E53:F53"/>
    <mergeCell ref="E54:F54"/>
    <mergeCell ref="E55:F55"/>
    <mergeCell ref="E56:F56"/>
    <mergeCell ref="E57:F57"/>
    <mergeCell ref="E58:F58"/>
    <mergeCell ref="E59:F59"/>
    <mergeCell ref="C38:D38"/>
    <mergeCell ref="E38:F38"/>
    <mergeCell ref="H38:I38"/>
    <mergeCell ref="J38:K38"/>
    <mergeCell ref="E39:F39"/>
    <mergeCell ref="H39:I39"/>
    <mergeCell ref="J39:K39"/>
    <mergeCell ref="C39:D39"/>
    <mergeCell ref="C40:D40"/>
    <mergeCell ref="E40:F40"/>
    <mergeCell ref="H40:I40"/>
    <mergeCell ref="J40:K40"/>
    <mergeCell ref="C41:D41"/>
    <mergeCell ref="E41:F41"/>
    <mergeCell ref="C43:D43"/>
    <mergeCell ref="E43:F43"/>
    <mergeCell ref="H43:I43"/>
    <mergeCell ref="J43:K43"/>
    <mergeCell ref="E44:F44"/>
    <mergeCell ref="H44:I44"/>
    <mergeCell ref="J44:K44"/>
    <mergeCell ref="C44:D44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E52:F52"/>
    <mergeCell ref="C59:D59"/>
    <mergeCell ref="C60:D60"/>
    <mergeCell ref="C61:D61"/>
    <mergeCell ref="C62:D62"/>
    <mergeCell ref="E62:F62"/>
    <mergeCell ref="C63:D63"/>
    <mergeCell ref="E63:F63"/>
    <mergeCell ref="C52:D52"/>
    <mergeCell ref="C53:D53"/>
    <mergeCell ref="C54:D54"/>
    <mergeCell ref="C55:D55"/>
    <mergeCell ref="C56:D56"/>
    <mergeCell ref="C57:D57"/>
    <mergeCell ref="C58:D58"/>
  </mergeCells>
  <conditionalFormatting sqref="C1:Z1">
    <cfRule type="cellIs" dxfId="0" priority="1" operator="greaterThan">
      <formula>0</formula>
    </cfRule>
  </conditionalFormatting>
  <conditionalFormatting sqref="C1:Z1">
    <cfRule type="cellIs" dxfId="1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4" width="12.5"/>
    <col customWidth="1" min="5" max="6" width="11.75"/>
    <col customWidth="1" min="7" max="8" width="11.88"/>
    <col customWidth="1" min="9" max="10" width="12.25"/>
    <col customWidth="1" min="11" max="12" width="11.38"/>
    <col customWidth="1" min="13" max="14" width="12.5"/>
    <col customWidth="1" min="15" max="16" width="11.88"/>
    <col customWidth="1" min="17" max="18" width="12.0"/>
    <col customWidth="1" min="19" max="20" width="12.38"/>
    <col customWidth="1" min="21" max="22" width="12.88"/>
    <col customWidth="1" min="23" max="24" width="12.0"/>
    <col customWidth="1" min="25" max="26" width="12.13"/>
  </cols>
  <sheetData>
    <row r="1" ht="59.25" customHeight="1">
      <c r="A1" s="59" t="s">
        <v>56</v>
      </c>
      <c r="B1" s="60"/>
      <c r="C1" s="61">
        <f>SUM(C7-C8)</f>
        <v>3915</v>
      </c>
      <c r="D1" s="62"/>
      <c r="E1" s="61">
        <f>SUM(E7-E8)</f>
        <v>-1071</v>
      </c>
      <c r="F1" s="62"/>
      <c r="G1" s="63">
        <f>SUM(G7-G8)</f>
        <v>-287</v>
      </c>
      <c r="H1" s="62"/>
      <c r="I1" s="61">
        <f>SUM(I7-I8)</f>
        <v>5</v>
      </c>
      <c r="J1" s="62"/>
      <c r="K1" s="61">
        <f>SUM(K7-K8)</f>
        <v>-12</v>
      </c>
      <c r="L1" s="62"/>
      <c r="M1" s="61">
        <f>SUM(M7-M8)</f>
        <v>202</v>
      </c>
      <c r="N1" s="62"/>
      <c r="O1" s="61">
        <f>SUM(O7-O8)</f>
        <v>269</v>
      </c>
      <c r="P1" s="62"/>
      <c r="Q1" s="61">
        <f>SUM(Q7-Q8)</f>
        <v>339</v>
      </c>
      <c r="R1" s="62"/>
      <c r="S1" s="61">
        <f>SUM(S7-S8)</f>
        <v>369</v>
      </c>
      <c r="T1" s="62"/>
      <c r="U1" s="61">
        <f>SUM(U7-U8)</f>
        <v>161</v>
      </c>
      <c r="V1" s="62"/>
      <c r="W1" s="61">
        <f>SUM(W7-W8)</f>
        <v>69</v>
      </c>
      <c r="X1" s="62"/>
      <c r="Y1" s="61">
        <f>SUM(Y7-Y8)</f>
        <v>69</v>
      </c>
      <c r="Z1" s="62"/>
      <c r="AA1" s="64"/>
    </row>
    <row r="2">
      <c r="A2" s="65"/>
      <c r="B2" s="66"/>
      <c r="C2" s="67" t="s">
        <v>57</v>
      </c>
      <c r="D2" s="62"/>
      <c r="E2" s="67" t="s">
        <v>58</v>
      </c>
      <c r="F2" s="62"/>
      <c r="G2" s="67" t="s">
        <v>59</v>
      </c>
      <c r="H2" s="62"/>
      <c r="I2" s="67" t="s">
        <v>60</v>
      </c>
      <c r="J2" s="62"/>
      <c r="K2" s="67" t="s">
        <v>61</v>
      </c>
      <c r="L2" s="62"/>
      <c r="M2" s="67" t="s">
        <v>62</v>
      </c>
      <c r="N2" s="62"/>
      <c r="O2" s="67" t="s">
        <v>63</v>
      </c>
      <c r="P2" s="62"/>
      <c r="Q2" s="67" t="s">
        <v>64</v>
      </c>
      <c r="R2" s="62"/>
      <c r="S2" s="67" t="s">
        <v>65</v>
      </c>
      <c r="T2" s="62"/>
      <c r="U2" s="67" t="s">
        <v>66</v>
      </c>
      <c r="V2" s="62"/>
      <c r="W2" s="67" t="s">
        <v>67</v>
      </c>
      <c r="X2" s="62"/>
      <c r="Y2" s="67" t="s">
        <v>68</v>
      </c>
      <c r="Z2" s="62"/>
      <c r="AA2" s="69" t="s">
        <v>69</v>
      </c>
    </row>
    <row r="3">
      <c r="A3" s="70" t="s">
        <v>70</v>
      </c>
      <c r="B3" s="71" t="s">
        <v>71</v>
      </c>
      <c r="C3" s="75">
        <v>6397.0</v>
      </c>
      <c r="D3" s="62"/>
      <c r="E3" s="75">
        <v>6397.0</v>
      </c>
      <c r="F3" s="62"/>
      <c r="G3" s="75">
        <v>6397.0</v>
      </c>
      <c r="H3" s="62"/>
      <c r="I3" s="75">
        <v>6397.0</v>
      </c>
      <c r="J3" s="62"/>
      <c r="K3" s="75">
        <v>6397.0</v>
      </c>
      <c r="L3" s="62"/>
      <c r="M3" s="75">
        <v>6397.0</v>
      </c>
      <c r="N3" s="62"/>
      <c r="O3" s="75">
        <v>6397.0</v>
      </c>
      <c r="P3" s="62"/>
      <c r="Q3" s="75">
        <v>6397.0</v>
      </c>
      <c r="R3" s="62"/>
      <c r="S3" s="75">
        <v>6397.0</v>
      </c>
      <c r="T3" s="62"/>
      <c r="U3" s="75">
        <v>6397.0</v>
      </c>
      <c r="V3" s="62"/>
      <c r="W3" s="75">
        <v>6397.0</v>
      </c>
      <c r="X3" s="62"/>
      <c r="Y3" s="75">
        <v>6397.0</v>
      </c>
      <c r="Z3" s="62"/>
      <c r="AA3" s="73">
        <f t="shared" ref="AA3:AA9" si="1">SUM(C3:Y3)</f>
        <v>76764</v>
      </c>
    </row>
    <row r="4">
      <c r="A4" s="74"/>
      <c r="B4" s="71" t="s">
        <v>72</v>
      </c>
      <c r="C4" s="75">
        <v>6000.0</v>
      </c>
      <c r="D4" s="62"/>
      <c r="E4" s="75">
        <v>0.0</v>
      </c>
      <c r="F4" s="62"/>
      <c r="G4" s="75">
        <v>0.0</v>
      </c>
      <c r="H4" s="62"/>
      <c r="I4" s="75">
        <v>0.0</v>
      </c>
      <c r="J4" s="62"/>
      <c r="K4" s="75">
        <v>0.0</v>
      </c>
      <c r="L4" s="62"/>
      <c r="M4" s="75">
        <v>0.0</v>
      </c>
      <c r="N4" s="62"/>
      <c r="O4" s="75">
        <v>0.0</v>
      </c>
      <c r="P4" s="62"/>
      <c r="Q4" s="75">
        <v>0.0</v>
      </c>
      <c r="R4" s="62"/>
      <c r="S4" s="75">
        <v>0.0</v>
      </c>
      <c r="T4" s="62"/>
      <c r="U4" s="75">
        <v>0.0</v>
      </c>
      <c r="V4" s="62"/>
      <c r="W4" s="75">
        <v>0.0</v>
      </c>
      <c r="X4" s="62"/>
      <c r="Y4" s="75">
        <v>0.0</v>
      </c>
      <c r="Z4" s="62"/>
      <c r="AA4" s="73">
        <f t="shared" si="1"/>
        <v>6000</v>
      </c>
    </row>
    <row r="5">
      <c r="A5" s="74"/>
      <c r="B5" s="71" t="s">
        <v>73</v>
      </c>
      <c r="C5" s="75">
        <v>4500.0</v>
      </c>
      <c r="D5" s="62"/>
      <c r="E5" s="75">
        <v>0.0</v>
      </c>
      <c r="F5" s="62"/>
      <c r="G5" s="75">
        <v>0.0</v>
      </c>
      <c r="H5" s="62"/>
      <c r="I5" s="75">
        <v>0.0</v>
      </c>
      <c r="J5" s="62"/>
      <c r="K5" s="75">
        <v>0.0</v>
      </c>
      <c r="L5" s="62"/>
      <c r="M5" s="75">
        <v>0.0</v>
      </c>
      <c r="N5" s="62"/>
      <c r="O5" s="75">
        <v>0.0</v>
      </c>
      <c r="P5" s="62"/>
      <c r="Q5" s="75">
        <v>0.0</v>
      </c>
      <c r="R5" s="62"/>
      <c r="S5" s="75">
        <v>0.0</v>
      </c>
      <c r="T5" s="62"/>
      <c r="U5" s="75">
        <v>0.0</v>
      </c>
      <c r="V5" s="62"/>
      <c r="W5" s="75">
        <v>0.0</v>
      </c>
      <c r="X5" s="62"/>
      <c r="Y5" s="75">
        <v>0.0</v>
      </c>
      <c r="Z5" s="62"/>
      <c r="AA5" s="73">
        <f t="shared" si="1"/>
        <v>4500</v>
      </c>
    </row>
    <row r="6">
      <c r="A6" s="78"/>
      <c r="B6" s="71" t="s">
        <v>75</v>
      </c>
      <c r="C6" s="75">
        <v>0.0</v>
      </c>
      <c r="D6" s="62"/>
      <c r="E6" s="75">
        <v>0.0</v>
      </c>
      <c r="F6" s="62"/>
      <c r="G6" s="75">
        <v>0.0</v>
      </c>
      <c r="H6" s="62"/>
      <c r="I6" s="75">
        <v>0.0</v>
      </c>
      <c r="J6" s="62"/>
      <c r="K6" s="75">
        <v>0.0</v>
      </c>
      <c r="L6" s="62"/>
      <c r="M6" s="75">
        <v>0.0</v>
      </c>
      <c r="N6" s="62"/>
      <c r="O6" s="75">
        <v>0.0</v>
      </c>
      <c r="P6" s="62"/>
      <c r="Q6" s="75">
        <v>0.0</v>
      </c>
      <c r="R6" s="62"/>
      <c r="S6" s="75">
        <v>0.0</v>
      </c>
      <c r="T6" s="62"/>
      <c r="U6" s="75">
        <v>0.0</v>
      </c>
      <c r="V6" s="62"/>
      <c r="W6" s="75">
        <v>0.0</v>
      </c>
      <c r="X6" s="62"/>
      <c r="Y6" s="75">
        <v>0.0</v>
      </c>
      <c r="Z6" s="62"/>
      <c r="AA6" s="73">
        <f t="shared" si="1"/>
        <v>0</v>
      </c>
    </row>
    <row r="7">
      <c r="A7" s="81" t="s">
        <v>55</v>
      </c>
      <c r="B7" s="62"/>
      <c r="C7" s="82">
        <f>SUM(C3:C6)</f>
        <v>16897</v>
      </c>
      <c r="D7" s="62"/>
      <c r="E7" s="82">
        <f>SUM(E3:E6)</f>
        <v>6397</v>
      </c>
      <c r="F7" s="62"/>
      <c r="G7" s="82">
        <f>SUM(G3:G6)</f>
        <v>6397</v>
      </c>
      <c r="H7" s="62"/>
      <c r="I7" s="82">
        <f>SUM(I3:I6)</f>
        <v>6397</v>
      </c>
      <c r="J7" s="62"/>
      <c r="K7" s="82">
        <f>SUM(K3:K6)</f>
        <v>6397</v>
      </c>
      <c r="L7" s="62"/>
      <c r="M7" s="82">
        <f>SUM(M3:M6)</f>
        <v>6397</v>
      </c>
      <c r="N7" s="62"/>
      <c r="O7" s="82">
        <f>SUM(O3:O6)</f>
        <v>6397</v>
      </c>
      <c r="P7" s="62"/>
      <c r="Q7" s="82">
        <f>SUM(Q3:Q6)</f>
        <v>6397</v>
      </c>
      <c r="R7" s="62"/>
      <c r="S7" s="82">
        <f>SUM(S3:S6)</f>
        <v>6397</v>
      </c>
      <c r="T7" s="62"/>
      <c r="U7" s="82">
        <f>SUM(U3:U6)</f>
        <v>6397</v>
      </c>
      <c r="V7" s="62"/>
      <c r="W7" s="82">
        <f>SUM(W3:W6)</f>
        <v>6397</v>
      </c>
      <c r="X7" s="62"/>
      <c r="Y7" s="82">
        <f>SUM(Y3:Y6)</f>
        <v>6397</v>
      </c>
      <c r="Z7" s="62"/>
      <c r="AA7" s="73">
        <f t="shared" si="1"/>
        <v>87264</v>
      </c>
    </row>
    <row r="8">
      <c r="A8" s="83" t="s">
        <v>76</v>
      </c>
      <c r="B8" s="84" t="s">
        <v>77</v>
      </c>
      <c r="C8" s="85">
        <f>SUM(C9:C26)</f>
        <v>12982</v>
      </c>
      <c r="D8" s="62"/>
      <c r="E8" s="85">
        <f>SUM(E9:E26)</f>
        <v>7468</v>
      </c>
      <c r="F8" s="62"/>
      <c r="G8" s="85">
        <f>SUM(G9:G26)</f>
        <v>6684</v>
      </c>
      <c r="H8" s="62"/>
      <c r="I8" s="85">
        <f>SUM(I9:I26)</f>
        <v>6392</v>
      </c>
      <c r="J8" s="62"/>
      <c r="K8" s="85">
        <f>SUM(K9:K26)</f>
        <v>6409</v>
      </c>
      <c r="L8" s="62"/>
      <c r="M8" s="85">
        <f>SUM(M9:M26)</f>
        <v>6195</v>
      </c>
      <c r="N8" s="62"/>
      <c r="O8" s="85">
        <f>SUM(O9:O26)</f>
        <v>6128</v>
      </c>
      <c r="P8" s="62"/>
      <c r="Q8" s="85">
        <f>SUM(Q9:Q26)</f>
        <v>6058</v>
      </c>
      <c r="R8" s="62"/>
      <c r="S8" s="85">
        <f>SUM(S9:S26)</f>
        <v>6028</v>
      </c>
      <c r="T8" s="62"/>
      <c r="U8" s="85">
        <f>SUM(U9:U26)</f>
        <v>6236</v>
      </c>
      <c r="V8" s="62"/>
      <c r="W8" s="85">
        <f>SUM(W9:W26)</f>
        <v>6328</v>
      </c>
      <c r="X8" s="62"/>
      <c r="Y8" s="85">
        <f>SUM(Y9:Y26)</f>
        <v>6328</v>
      </c>
      <c r="Z8" s="62"/>
      <c r="AA8" s="86">
        <f t="shared" si="1"/>
        <v>83236</v>
      </c>
      <c r="AB8" s="62"/>
    </row>
    <row r="9">
      <c r="A9" s="91" t="s">
        <v>78</v>
      </c>
      <c r="B9" s="88" t="s">
        <v>79</v>
      </c>
      <c r="C9" s="92">
        <v>1200.0</v>
      </c>
      <c r="D9" s="90">
        <f>SUM(C9:C11)</f>
        <v>1985</v>
      </c>
      <c r="E9" s="92">
        <v>1200.0</v>
      </c>
      <c r="F9" s="90">
        <f>SUM(E9:E11)</f>
        <v>1885</v>
      </c>
      <c r="G9" s="92">
        <v>1200.0</v>
      </c>
      <c r="H9" s="90">
        <f>SUM(G9:G11)</f>
        <v>1485</v>
      </c>
      <c r="I9" s="92">
        <v>1200.0</v>
      </c>
      <c r="J9" s="90">
        <f>SUM(I9:I11)</f>
        <v>1685</v>
      </c>
      <c r="K9" s="92">
        <v>1200.0</v>
      </c>
      <c r="L9" s="90">
        <f>SUM(K9:K11)</f>
        <v>1786</v>
      </c>
      <c r="M9" s="92">
        <v>1200.0</v>
      </c>
      <c r="N9" s="90">
        <f>SUM(M9:M11)</f>
        <v>1786</v>
      </c>
      <c r="O9" s="92">
        <v>1200.0</v>
      </c>
      <c r="P9" s="90">
        <f>SUM(O9:O11)</f>
        <v>1786</v>
      </c>
      <c r="Q9" s="92">
        <v>1200.0</v>
      </c>
      <c r="R9" s="90">
        <f>SUM(Q9:Q11)</f>
        <v>1786</v>
      </c>
      <c r="S9" s="92">
        <v>1200.0</v>
      </c>
      <c r="T9" s="90">
        <f>SUM(S9:S11)</f>
        <v>1686</v>
      </c>
      <c r="U9" s="92">
        <v>1208.0</v>
      </c>
      <c r="V9" s="90">
        <f>SUM(U9:U11)</f>
        <v>1894</v>
      </c>
      <c r="W9" s="92">
        <v>1200.0</v>
      </c>
      <c r="X9" s="90">
        <f>SUM(W9:W11)</f>
        <v>1886</v>
      </c>
      <c r="Y9" s="92">
        <v>1200.0</v>
      </c>
      <c r="Z9" s="90">
        <f>SUM(Y9:Y11)</f>
        <v>1886</v>
      </c>
      <c r="AA9" s="73">
        <f t="shared" si="1"/>
        <v>34058</v>
      </c>
    </row>
    <row r="10">
      <c r="A10" s="91"/>
      <c r="B10" s="88" t="s">
        <v>2</v>
      </c>
      <c r="C10" s="92">
        <v>285.0</v>
      </c>
      <c r="D10" s="74"/>
      <c r="E10" s="92">
        <v>285.0</v>
      </c>
      <c r="F10" s="74"/>
      <c r="G10" s="92">
        <v>285.0</v>
      </c>
      <c r="H10" s="74"/>
      <c r="I10" s="92">
        <v>285.0</v>
      </c>
      <c r="J10" s="74"/>
      <c r="K10" s="92">
        <v>286.0</v>
      </c>
      <c r="L10" s="74"/>
      <c r="M10" s="92">
        <v>286.0</v>
      </c>
      <c r="N10" s="74"/>
      <c r="O10" s="92">
        <v>286.0</v>
      </c>
      <c r="P10" s="74"/>
      <c r="Q10" s="92">
        <v>286.0</v>
      </c>
      <c r="R10" s="74"/>
      <c r="S10" s="92">
        <v>286.0</v>
      </c>
      <c r="T10" s="74"/>
      <c r="U10" s="92">
        <v>286.0</v>
      </c>
      <c r="V10" s="74"/>
      <c r="W10" s="92">
        <v>286.0</v>
      </c>
      <c r="X10" s="74"/>
      <c r="Y10" s="92">
        <v>286.0</v>
      </c>
      <c r="Z10" s="74"/>
      <c r="AA10" s="95"/>
    </row>
    <row r="11">
      <c r="A11" s="97"/>
      <c r="B11" s="88" t="s">
        <v>52</v>
      </c>
      <c r="C11" s="92">
        <v>500.0</v>
      </c>
      <c r="D11" s="78"/>
      <c r="E11" s="92">
        <v>400.0</v>
      </c>
      <c r="F11" s="78"/>
      <c r="G11" s="92">
        <v>0.0</v>
      </c>
      <c r="H11" s="78"/>
      <c r="I11" s="92">
        <v>200.0</v>
      </c>
      <c r="J11" s="78"/>
      <c r="K11" s="92">
        <v>300.0</v>
      </c>
      <c r="L11" s="78"/>
      <c r="M11" s="92">
        <v>300.0</v>
      </c>
      <c r="N11" s="78"/>
      <c r="O11" s="92">
        <v>300.0</v>
      </c>
      <c r="P11" s="78"/>
      <c r="Q11" s="92">
        <v>300.0</v>
      </c>
      <c r="R11" s="78"/>
      <c r="S11" s="92">
        <v>200.0</v>
      </c>
      <c r="T11" s="78"/>
      <c r="U11" s="92">
        <v>400.0</v>
      </c>
      <c r="V11" s="78"/>
      <c r="W11" s="92">
        <v>400.0</v>
      </c>
      <c r="X11" s="78"/>
      <c r="Y11" s="92">
        <v>400.0</v>
      </c>
      <c r="Z11" s="78"/>
      <c r="AA11" s="73">
        <f t="shared" ref="AA11:AA22" si="2">SUM(C11:Y11)</f>
        <v>3700</v>
      </c>
    </row>
    <row r="12">
      <c r="A12" s="98" t="s">
        <v>80</v>
      </c>
      <c r="B12" s="94" t="s">
        <v>6</v>
      </c>
      <c r="C12" s="92">
        <v>1097.0</v>
      </c>
      <c r="D12" s="96">
        <f>SUM(C12:C13)</f>
        <v>1883</v>
      </c>
      <c r="E12" s="92">
        <v>1042.0</v>
      </c>
      <c r="F12" s="96">
        <f>SUM(E12:E13)</f>
        <v>1669</v>
      </c>
      <c r="G12" s="92">
        <v>1042.0</v>
      </c>
      <c r="H12" s="96">
        <f>SUM(G12:G13)</f>
        <v>1247</v>
      </c>
      <c r="I12" s="92">
        <v>555.0</v>
      </c>
      <c r="J12" s="96">
        <f>SUM(I12:I13)</f>
        <v>555</v>
      </c>
      <c r="K12" s="92">
        <v>371.0</v>
      </c>
      <c r="L12" s="96">
        <f>SUM(K12:K13)</f>
        <v>371</v>
      </c>
      <c r="M12" s="92">
        <v>67.0</v>
      </c>
      <c r="N12" s="96">
        <f>SUM(M12:M13)</f>
        <v>67</v>
      </c>
      <c r="O12" s="92">
        <v>0.0</v>
      </c>
      <c r="P12" s="96">
        <f>SUM(O12:O13)</f>
        <v>0</v>
      </c>
      <c r="Q12" s="92">
        <v>0.0</v>
      </c>
      <c r="R12" s="96">
        <f>SUM(Q12:Q13)</f>
        <v>0</v>
      </c>
      <c r="S12" s="92">
        <v>0.0</v>
      </c>
      <c r="T12" s="96">
        <f>SUM(S12:S13)</f>
        <v>0</v>
      </c>
      <c r="U12" s="92">
        <v>0.0</v>
      </c>
      <c r="V12" s="96">
        <f>SUM(U12:U13)</f>
        <v>0</v>
      </c>
      <c r="W12" s="92">
        <v>0.0</v>
      </c>
      <c r="X12" s="96">
        <f>SUM(W12:W13)</f>
        <v>0</v>
      </c>
      <c r="Y12" s="92">
        <v>0.0</v>
      </c>
      <c r="Z12" s="96">
        <f>SUM(Y12:Y13)</f>
        <v>0</v>
      </c>
      <c r="AA12" s="73">
        <f t="shared" si="2"/>
        <v>9966</v>
      </c>
    </row>
    <row r="13">
      <c r="A13" s="98"/>
      <c r="B13" s="94" t="s">
        <v>82</v>
      </c>
      <c r="C13" s="92">
        <v>786.0</v>
      </c>
      <c r="D13" s="78"/>
      <c r="E13" s="92">
        <v>627.0</v>
      </c>
      <c r="F13" s="78"/>
      <c r="G13" s="92">
        <v>205.0</v>
      </c>
      <c r="H13" s="78"/>
      <c r="I13" s="92">
        <v>0.0</v>
      </c>
      <c r="J13" s="78"/>
      <c r="K13" s="92">
        <v>0.0</v>
      </c>
      <c r="L13" s="78"/>
      <c r="M13" s="92">
        <v>0.0</v>
      </c>
      <c r="N13" s="78"/>
      <c r="O13" s="92">
        <v>0.0</v>
      </c>
      <c r="P13" s="78"/>
      <c r="Q13" s="92">
        <v>0.0</v>
      </c>
      <c r="R13" s="78"/>
      <c r="S13" s="92">
        <v>0.0</v>
      </c>
      <c r="T13" s="78"/>
      <c r="U13" s="92">
        <v>0.0</v>
      </c>
      <c r="V13" s="78"/>
      <c r="W13" s="92">
        <v>0.0</v>
      </c>
      <c r="X13" s="78"/>
      <c r="Y13" s="92">
        <v>0.0</v>
      </c>
      <c r="Z13" s="78"/>
      <c r="AA13" s="73">
        <f t="shared" si="2"/>
        <v>1618</v>
      </c>
    </row>
    <row r="14">
      <c r="A14" s="99" t="s">
        <v>83</v>
      </c>
      <c r="B14" s="100" t="s">
        <v>4</v>
      </c>
      <c r="C14" s="92">
        <v>400.0</v>
      </c>
      <c r="D14" s="101">
        <f>SUM(C14:C16)</f>
        <v>990</v>
      </c>
      <c r="E14" s="92">
        <v>400.0</v>
      </c>
      <c r="F14" s="101">
        <f>SUM(E14:E16)</f>
        <v>790</v>
      </c>
      <c r="G14" s="92">
        <v>400.0</v>
      </c>
      <c r="H14" s="101">
        <f>SUM(G14:G16)</f>
        <v>490</v>
      </c>
      <c r="I14" s="92">
        <v>400.0</v>
      </c>
      <c r="J14" s="101">
        <f>SUM(I14:I16)</f>
        <v>690</v>
      </c>
      <c r="K14" s="92">
        <v>400.0</v>
      </c>
      <c r="L14" s="101">
        <f>SUM(K14:K16)</f>
        <v>790</v>
      </c>
      <c r="M14" s="92">
        <v>400.0</v>
      </c>
      <c r="N14" s="101">
        <f>SUM(M14:M16)</f>
        <v>880</v>
      </c>
      <c r="O14" s="92">
        <v>400.0</v>
      </c>
      <c r="P14" s="101">
        <f>SUM(O14:O16)</f>
        <v>880</v>
      </c>
      <c r="Q14" s="92">
        <v>400.0</v>
      </c>
      <c r="R14" s="101">
        <f>SUM(Q14:Q16)</f>
        <v>810</v>
      </c>
      <c r="S14" s="92">
        <v>400.0</v>
      </c>
      <c r="T14" s="101">
        <f>SUM(S14:S16)</f>
        <v>880</v>
      </c>
      <c r="U14" s="92">
        <v>400.0</v>
      </c>
      <c r="V14" s="101">
        <f>SUM(U14:U16)</f>
        <v>880</v>
      </c>
      <c r="W14" s="92">
        <v>400.0</v>
      </c>
      <c r="X14" s="101">
        <f>SUM(W14:W16)</f>
        <v>980</v>
      </c>
      <c r="Y14" s="92">
        <v>400.0</v>
      </c>
      <c r="Z14" s="101">
        <f>SUM(Y14:Y16)</f>
        <v>980</v>
      </c>
      <c r="AA14" s="73">
        <f t="shared" si="2"/>
        <v>13860</v>
      </c>
    </row>
    <row r="15">
      <c r="A15" s="74"/>
      <c r="B15" s="100" t="s">
        <v>84</v>
      </c>
      <c r="C15" s="92">
        <v>500.0</v>
      </c>
      <c r="D15" s="74"/>
      <c r="E15" s="92">
        <v>300.0</v>
      </c>
      <c r="F15" s="74"/>
      <c r="G15" s="92">
        <v>0.0</v>
      </c>
      <c r="H15" s="74"/>
      <c r="I15" s="92">
        <v>200.0</v>
      </c>
      <c r="J15" s="74"/>
      <c r="K15" s="92">
        <v>300.0</v>
      </c>
      <c r="L15" s="74"/>
      <c r="M15" s="92">
        <v>400.0</v>
      </c>
      <c r="N15" s="74"/>
      <c r="O15" s="92">
        <v>400.0</v>
      </c>
      <c r="P15" s="74"/>
      <c r="Q15" s="92">
        <v>330.0</v>
      </c>
      <c r="R15" s="74"/>
      <c r="S15" s="92">
        <v>400.0</v>
      </c>
      <c r="T15" s="74"/>
      <c r="U15" s="92">
        <v>400.0</v>
      </c>
      <c r="V15" s="74"/>
      <c r="W15" s="92">
        <v>500.0</v>
      </c>
      <c r="X15" s="74"/>
      <c r="Y15" s="92">
        <v>500.0</v>
      </c>
      <c r="Z15" s="74"/>
      <c r="AA15" s="73">
        <f t="shared" si="2"/>
        <v>4230</v>
      </c>
    </row>
    <row r="16">
      <c r="A16" s="78"/>
      <c r="B16" s="100" t="s">
        <v>12</v>
      </c>
      <c r="C16" s="92">
        <v>90.0</v>
      </c>
      <c r="D16" s="78"/>
      <c r="E16" s="92">
        <v>90.0</v>
      </c>
      <c r="F16" s="78"/>
      <c r="G16" s="92">
        <v>90.0</v>
      </c>
      <c r="H16" s="78"/>
      <c r="I16" s="92">
        <v>90.0</v>
      </c>
      <c r="J16" s="78"/>
      <c r="K16" s="92">
        <v>90.0</v>
      </c>
      <c r="L16" s="78"/>
      <c r="M16" s="92">
        <v>80.0</v>
      </c>
      <c r="N16" s="78"/>
      <c r="O16" s="92">
        <v>80.0</v>
      </c>
      <c r="P16" s="78"/>
      <c r="Q16" s="92">
        <v>80.0</v>
      </c>
      <c r="R16" s="78"/>
      <c r="S16" s="92">
        <v>80.0</v>
      </c>
      <c r="T16" s="78"/>
      <c r="U16" s="92">
        <v>80.0</v>
      </c>
      <c r="V16" s="78"/>
      <c r="W16" s="92">
        <v>80.0</v>
      </c>
      <c r="X16" s="78"/>
      <c r="Y16" s="92">
        <v>80.0</v>
      </c>
      <c r="Z16" s="78"/>
      <c r="AA16" s="73">
        <f t="shared" si="2"/>
        <v>1010</v>
      </c>
    </row>
    <row r="17">
      <c r="A17" s="103" t="s">
        <v>85</v>
      </c>
      <c r="B17" s="103" t="s">
        <v>82</v>
      </c>
      <c r="C17" s="92">
        <v>0.0</v>
      </c>
      <c r="D17" s="104">
        <f>SUM(C17)</f>
        <v>0</v>
      </c>
      <c r="E17" s="92">
        <v>0.0</v>
      </c>
      <c r="F17" s="104">
        <f>SUM(E17)</f>
        <v>0</v>
      </c>
      <c r="G17" s="92">
        <v>0.0</v>
      </c>
      <c r="H17" s="104">
        <f>SUM(G17)</f>
        <v>0</v>
      </c>
      <c r="I17" s="92">
        <v>0.0</v>
      </c>
      <c r="J17" s="104">
        <f>SUM(I17)</f>
        <v>0</v>
      </c>
      <c r="K17" s="92">
        <v>0.0</v>
      </c>
      <c r="L17" s="104">
        <f>SUM(K17)</f>
        <v>0</v>
      </c>
      <c r="M17" s="92">
        <v>0.0</v>
      </c>
      <c r="N17" s="104">
        <f>SUM(M17)</f>
        <v>0</v>
      </c>
      <c r="O17" s="92">
        <v>0.0</v>
      </c>
      <c r="P17" s="104">
        <f>SUM(O17)</f>
        <v>0</v>
      </c>
      <c r="Q17" s="92">
        <v>0.0</v>
      </c>
      <c r="R17" s="104">
        <f>SUM(Q17)</f>
        <v>0</v>
      </c>
      <c r="S17" s="92">
        <v>0.0</v>
      </c>
      <c r="T17" s="104">
        <f>SUM(S17)</f>
        <v>0</v>
      </c>
      <c r="U17" s="92">
        <v>0.0</v>
      </c>
      <c r="V17" s="104">
        <f>SUM(U17)</f>
        <v>0</v>
      </c>
      <c r="W17" s="92">
        <v>0.0</v>
      </c>
      <c r="X17" s="104">
        <f>SUM(W17)</f>
        <v>0</v>
      </c>
      <c r="Y17" s="92">
        <v>0.0</v>
      </c>
      <c r="Z17" s="104">
        <f>SUM(Y17)</f>
        <v>0</v>
      </c>
      <c r="AA17" s="73">
        <f t="shared" si="2"/>
        <v>0</v>
      </c>
    </row>
    <row r="18">
      <c r="A18" s="108" t="s">
        <v>87</v>
      </c>
      <c r="B18" s="109" t="s">
        <v>88</v>
      </c>
      <c r="C18" s="92">
        <v>0.0</v>
      </c>
      <c r="D18" s="110">
        <f>SUM(C18:C19)</f>
        <v>274</v>
      </c>
      <c r="E18" s="92">
        <v>0.0</v>
      </c>
      <c r="F18" s="110">
        <f>SUM(E18:E19)</f>
        <v>274</v>
      </c>
      <c r="G18" s="92">
        <v>0.0</v>
      </c>
      <c r="H18" s="110">
        <f>SUM(G18:G19)</f>
        <v>275</v>
      </c>
      <c r="I18" s="92">
        <v>0.0</v>
      </c>
      <c r="J18" s="110">
        <f>SUM(I18:I19)</f>
        <v>275</v>
      </c>
      <c r="K18" s="92">
        <v>0.0</v>
      </c>
      <c r="L18" s="110">
        <f>SUM(K18:K19)</f>
        <v>275</v>
      </c>
      <c r="M18" s="92">
        <v>0.0</v>
      </c>
      <c r="N18" s="110">
        <f>SUM(M18:M19)</f>
        <v>275</v>
      </c>
      <c r="O18" s="92">
        <v>0.0</v>
      </c>
      <c r="P18" s="110">
        <f>SUM(O18:O19)</f>
        <v>275</v>
      </c>
      <c r="Q18" s="92">
        <v>0.0</v>
      </c>
      <c r="R18" s="110">
        <f>SUM(Q18:Q19)</f>
        <v>275</v>
      </c>
      <c r="S18" s="92">
        <v>0.0</v>
      </c>
      <c r="T18" s="110">
        <f>SUM(S18:S19)</f>
        <v>275</v>
      </c>
      <c r="U18" s="92">
        <v>0.0</v>
      </c>
      <c r="V18" s="110">
        <f>SUM(U18:U19)</f>
        <v>275</v>
      </c>
      <c r="W18" s="92">
        <v>0.0</v>
      </c>
      <c r="X18" s="110">
        <f>SUM(W18:W19)</f>
        <v>275</v>
      </c>
      <c r="Y18" s="92">
        <v>0.0</v>
      </c>
      <c r="Z18" s="110">
        <f>SUM(Y18:Y19)</f>
        <v>275</v>
      </c>
      <c r="AA18" s="73">
        <f t="shared" si="2"/>
        <v>3023</v>
      </c>
    </row>
    <row r="19">
      <c r="A19" s="78"/>
      <c r="B19" s="109" t="s">
        <v>90</v>
      </c>
      <c r="C19" s="92">
        <v>274.0</v>
      </c>
      <c r="D19" s="78"/>
      <c r="E19" s="92">
        <v>274.0</v>
      </c>
      <c r="F19" s="78"/>
      <c r="G19" s="92">
        <v>275.0</v>
      </c>
      <c r="H19" s="78"/>
      <c r="I19" s="92">
        <v>275.0</v>
      </c>
      <c r="J19" s="78"/>
      <c r="K19" s="92">
        <v>275.0</v>
      </c>
      <c r="L19" s="78"/>
      <c r="M19" s="92">
        <v>275.0</v>
      </c>
      <c r="N19" s="78"/>
      <c r="O19" s="92">
        <v>275.0</v>
      </c>
      <c r="P19" s="78"/>
      <c r="Q19" s="92">
        <v>275.0</v>
      </c>
      <c r="R19" s="78"/>
      <c r="S19" s="92">
        <v>275.0</v>
      </c>
      <c r="T19" s="78"/>
      <c r="U19" s="92">
        <v>275.0</v>
      </c>
      <c r="V19" s="78"/>
      <c r="W19" s="92">
        <v>275.0</v>
      </c>
      <c r="X19" s="78"/>
      <c r="Y19" s="92">
        <v>275.0</v>
      </c>
      <c r="Z19" s="78"/>
      <c r="AA19" s="73">
        <f t="shared" si="2"/>
        <v>3298</v>
      </c>
    </row>
    <row r="20">
      <c r="A20" s="111" t="s">
        <v>91</v>
      </c>
      <c r="B20" s="112" t="s">
        <v>42</v>
      </c>
      <c r="C20" s="92">
        <v>550.0</v>
      </c>
      <c r="D20" s="113">
        <f>SUM(C20)</f>
        <v>550</v>
      </c>
      <c r="E20" s="92">
        <v>550.0</v>
      </c>
      <c r="F20" s="113">
        <f>SUM(E20)</f>
        <v>550</v>
      </c>
      <c r="G20" s="92">
        <v>550.0</v>
      </c>
      <c r="H20" s="113">
        <f>SUM(G20)</f>
        <v>550</v>
      </c>
      <c r="I20" s="92">
        <v>550.0</v>
      </c>
      <c r="J20" s="113">
        <f>SUM(I20)</f>
        <v>550</v>
      </c>
      <c r="K20" s="92">
        <v>550.0</v>
      </c>
      <c r="L20" s="113">
        <f>SUM(K20)</f>
        <v>550</v>
      </c>
      <c r="M20" s="92">
        <v>550.0</v>
      </c>
      <c r="N20" s="113">
        <f>SUM(M20)</f>
        <v>550</v>
      </c>
      <c r="O20" s="92">
        <v>550.0</v>
      </c>
      <c r="P20" s="113">
        <f>SUM(O20)</f>
        <v>550</v>
      </c>
      <c r="Q20" s="92">
        <v>550.0</v>
      </c>
      <c r="R20" s="113">
        <f>SUM(Q20)</f>
        <v>550</v>
      </c>
      <c r="S20" s="92">
        <v>550.0</v>
      </c>
      <c r="T20" s="113">
        <f>SUM(S20)</f>
        <v>550</v>
      </c>
      <c r="U20" s="92">
        <v>550.0</v>
      </c>
      <c r="V20" s="113">
        <f>SUM(U20)</f>
        <v>550</v>
      </c>
      <c r="W20" s="92">
        <v>550.0</v>
      </c>
      <c r="X20" s="113">
        <f>SUM(W20)</f>
        <v>550</v>
      </c>
      <c r="Y20" s="92">
        <v>550.0</v>
      </c>
      <c r="Z20" s="113">
        <f>SUM(Y20)</f>
        <v>550</v>
      </c>
      <c r="AA20" s="73">
        <f t="shared" si="2"/>
        <v>12650</v>
      </c>
    </row>
    <row r="21">
      <c r="A21" s="117" t="s">
        <v>94</v>
      </c>
      <c r="B21" s="118" t="s">
        <v>95</v>
      </c>
      <c r="C21" s="92">
        <v>0.0</v>
      </c>
      <c r="D21" s="119">
        <f>SUM(C21:C24)</f>
        <v>5000</v>
      </c>
      <c r="E21" s="92">
        <v>0.0</v>
      </c>
      <c r="F21" s="119">
        <f>SUM(E21:E23)</f>
        <v>0</v>
      </c>
      <c r="G21" s="92">
        <v>0.0</v>
      </c>
      <c r="H21" s="119">
        <f>SUM(G21:G22)</f>
        <v>0</v>
      </c>
      <c r="I21" s="92">
        <v>0.0</v>
      </c>
      <c r="J21" s="119">
        <f>SUM(I21:I22)</f>
        <v>0</v>
      </c>
      <c r="K21" s="92">
        <v>0.0</v>
      </c>
      <c r="L21" s="119">
        <f>SUM(K21:K22)</f>
        <v>0</v>
      </c>
      <c r="M21" s="92">
        <v>0.0</v>
      </c>
      <c r="N21" s="119">
        <f>SUM(M21:M22)</f>
        <v>0</v>
      </c>
      <c r="O21" s="92">
        <v>0.0</v>
      </c>
      <c r="P21" s="119">
        <f>SUM(O21:O22)</f>
        <v>0</v>
      </c>
      <c r="Q21" s="92">
        <v>0.0</v>
      </c>
      <c r="R21" s="119">
        <f>SUM(Q21:Q22)</f>
        <v>0</v>
      </c>
      <c r="S21" s="92">
        <v>0.0</v>
      </c>
      <c r="T21" s="119">
        <f>SUM(S21:S22)</f>
        <v>0</v>
      </c>
      <c r="U21" s="92">
        <v>0.0</v>
      </c>
      <c r="V21" s="119">
        <f>SUM(U21:U22)</f>
        <v>0</v>
      </c>
      <c r="W21" s="92">
        <v>0.0</v>
      </c>
      <c r="X21" s="119">
        <f>SUM(W21:W22)</f>
        <v>0</v>
      </c>
      <c r="Y21" s="92">
        <v>0.0</v>
      </c>
      <c r="Z21" s="119">
        <f>SUM(Y21:Y22)</f>
        <v>0</v>
      </c>
      <c r="AA21" s="73">
        <f t="shared" si="2"/>
        <v>5000</v>
      </c>
    </row>
    <row r="22">
      <c r="A22" s="74"/>
      <c r="B22" s="118" t="s">
        <v>97</v>
      </c>
      <c r="C22" s="92">
        <v>0.0</v>
      </c>
      <c r="D22" s="74"/>
      <c r="E22" s="92">
        <v>0.0</v>
      </c>
      <c r="F22" s="74"/>
      <c r="G22" s="92">
        <v>0.0</v>
      </c>
      <c r="H22" s="78"/>
      <c r="I22" s="92">
        <v>0.0</v>
      </c>
      <c r="J22" s="78"/>
      <c r="K22" s="92">
        <v>0.0</v>
      </c>
      <c r="L22" s="78"/>
      <c r="M22" s="92">
        <v>0.0</v>
      </c>
      <c r="N22" s="78"/>
      <c r="O22" s="92">
        <v>0.0</v>
      </c>
      <c r="P22" s="78"/>
      <c r="Q22" s="92">
        <v>0.0</v>
      </c>
      <c r="R22" s="78"/>
      <c r="S22" s="92">
        <v>0.0</v>
      </c>
      <c r="T22" s="78"/>
      <c r="U22" s="92">
        <v>0.0</v>
      </c>
      <c r="V22" s="78"/>
      <c r="W22" s="92">
        <v>0.0</v>
      </c>
      <c r="X22" s="78"/>
      <c r="Y22" s="92">
        <v>0.0</v>
      </c>
      <c r="Z22" s="78"/>
      <c r="AA22" s="73">
        <f t="shared" si="2"/>
        <v>0</v>
      </c>
    </row>
    <row r="23">
      <c r="A23" s="74"/>
      <c r="B23" s="118" t="s">
        <v>98</v>
      </c>
      <c r="C23" s="92">
        <v>0.0</v>
      </c>
      <c r="D23" s="74"/>
      <c r="E23" s="92">
        <v>0.0</v>
      </c>
      <c r="F23" s="78"/>
      <c r="G23" s="92">
        <v>0.0</v>
      </c>
      <c r="H23" s="120"/>
      <c r="I23" s="92">
        <v>0.0</v>
      </c>
      <c r="J23" s="120"/>
      <c r="K23" s="92">
        <v>0.0</v>
      </c>
      <c r="L23" s="120"/>
      <c r="M23" s="92">
        <v>0.0</v>
      </c>
      <c r="N23" s="120"/>
      <c r="O23" s="92">
        <v>0.0</v>
      </c>
      <c r="P23" s="120"/>
      <c r="Q23" s="92">
        <v>0.0</v>
      </c>
      <c r="R23" s="120"/>
      <c r="S23" s="92">
        <v>0.0</v>
      </c>
      <c r="T23" s="120"/>
      <c r="U23" s="92">
        <v>0.0</v>
      </c>
      <c r="V23" s="89">
        <v>0.0</v>
      </c>
      <c r="W23" s="92">
        <v>0.0</v>
      </c>
      <c r="X23" s="89">
        <v>0.0</v>
      </c>
      <c r="Y23" s="92">
        <v>0.0</v>
      </c>
      <c r="Z23" s="89">
        <v>0.0</v>
      </c>
      <c r="AA23" s="95"/>
    </row>
    <row r="24">
      <c r="A24" s="78"/>
      <c r="B24" s="118" t="s">
        <v>100</v>
      </c>
      <c r="C24" s="92">
        <v>5000.0</v>
      </c>
      <c r="D24" s="78"/>
      <c r="E24" s="92">
        <v>0.0</v>
      </c>
      <c r="F24" s="120"/>
      <c r="G24" s="92">
        <v>0.0</v>
      </c>
      <c r="H24" s="120"/>
      <c r="I24" s="92">
        <v>0.0</v>
      </c>
      <c r="J24" s="120"/>
      <c r="K24" s="92">
        <v>0.0</v>
      </c>
      <c r="L24" s="120"/>
      <c r="M24" s="92">
        <v>0.0</v>
      </c>
      <c r="N24" s="120"/>
      <c r="O24" s="92">
        <v>0.0</v>
      </c>
      <c r="P24" s="120"/>
      <c r="Q24" s="92">
        <v>0.0</v>
      </c>
      <c r="R24" s="120"/>
      <c r="S24" s="92">
        <v>0.0</v>
      </c>
      <c r="T24" s="120"/>
      <c r="U24" s="92">
        <v>0.0</v>
      </c>
      <c r="V24" s="89">
        <v>0.0</v>
      </c>
      <c r="W24" s="92">
        <v>0.0</v>
      </c>
      <c r="X24" s="89">
        <v>0.0</v>
      </c>
      <c r="Y24" s="92">
        <v>0.0</v>
      </c>
      <c r="Z24" s="89">
        <v>0.0</v>
      </c>
      <c r="AA24" s="95"/>
    </row>
    <row r="25">
      <c r="A25" s="121"/>
      <c r="B25" s="118" t="s">
        <v>101</v>
      </c>
      <c r="C25" s="92">
        <v>0.0</v>
      </c>
      <c r="D25" s="120"/>
      <c r="E25" s="92">
        <v>0.0</v>
      </c>
      <c r="F25" s="120"/>
      <c r="G25" s="92">
        <v>237.0</v>
      </c>
      <c r="H25" s="120"/>
      <c r="I25" s="92">
        <v>237.0</v>
      </c>
      <c r="J25" s="120"/>
      <c r="K25" s="92">
        <v>237.0</v>
      </c>
      <c r="L25" s="120"/>
      <c r="M25" s="92">
        <v>237.0</v>
      </c>
      <c r="N25" s="120"/>
      <c r="O25" s="92">
        <v>237.0</v>
      </c>
      <c r="P25" s="120"/>
      <c r="Q25" s="92">
        <v>237.0</v>
      </c>
      <c r="R25" s="120"/>
      <c r="S25" s="92">
        <v>237.0</v>
      </c>
      <c r="T25" s="120"/>
      <c r="U25" s="92">
        <v>237.0</v>
      </c>
      <c r="V25" s="89"/>
      <c r="W25" s="92">
        <v>237.0</v>
      </c>
      <c r="X25" s="89"/>
      <c r="Y25" s="92">
        <v>237.0</v>
      </c>
      <c r="Z25" s="89"/>
      <c r="AA25" s="95"/>
    </row>
    <row r="26">
      <c r="A26" s="122" t="s">
        <v>103</v>
      </c>
      <c r="B26" s="123" t="s">
        <v>104</v>
      </c>
      <c r="C26" s="92">
        <v>2300.0</v>
      </c>
      <c r="D26" s="125">
        <f>SUM(C26)</f>
        <v>2300</v>
      </c>
      <c r="E26" s="92">
        <v>2300.0</v>
      </c>
      <c r="F26" s="125">
        <f>SUM(E26)</f>
        <v>2300</v>
      </c>
      <c r="G26" s="92">
        <v>2400.0</v>
      </c>
      <c r="H26" s="125">
        <f>SUM(G26)</f>
        <v>2400</v>
      </c>
      <c r="I26" s="92">
        <v>2400.0</v>
      </c>
      <c r="J26" s="125">
        <f>SUM(I26)</f>
        <v>2400</v>
      </c>
      <c r="K26" s="92">
        <v>2400.0</v>
      </c>
      <c r="L26" s="125">
        <f>SUM(K26)</f>
        <v>2400</v>
      </c>
      <c r="M26" s="92">
        <v>2400.0</v>
      </c>
      <c r="N26" s="125">
        <f>SUM(M26)</f>
        <v>2400</v>
      </c>
      <c r="O26" s="92">
        <v>2400.0</v>
      </c>
      <c r="P26" s="125">
        <f>SUM(O26)</f>
        <v>2400</v>
      </c>
      <c r="Q26" s="92">
        <v>2400.0</v>
      </c>
      <c r="R26" s="125">
        <f>SUM(Q26)</f>
        <v>2400</v>
      </c>
      <c r="S26" s="92">
        <v>2400.0</v>
      </c>
      <c r="T26" s="125">
        <f>SUM(S26)</f>
        <v>2400</v>
      </c>
      <c r="U26" s="92">
        <v>2400.0</v>
      </c>
      <c r="V26" s="125">
        <f>SUM(U26)</f>
        <v>2400</v>
      </c>
      <c r="W26" s="92">
        <v>2400.0</v>
      </c>
      <c r="X26" s="125">
        <f>SUM(W26)</f>
        <v>2400</v>
      </c>
      <c r="Y26" s="92">
        <v>2400.0</v>
      </c>
      <c r="Z26" s="125">
        <f>SUM(Y26)</f>
        <v>2400</v>
      </c>
      <c r="AA26" s="95"/>
    </row>
    <row r="27">
      <c r="A27" s="105" t="s">
        <v>108</v>
      </c>
      <c r="B27" s="106" t="s">
        <v>89</v>
      </c>
      <c r="C27" s="92">
        <v>256.0</v>
      </c>
      <c r="D27" s="107">
        <f>(C27+C28+C29)</f>
        <v>1175</v>
      </c>
      <c r="E27" s="92">
        <v>256.0</v>
      </c>
      <c r="F27" s="107">
        <f>(E27+E28+E29)</f>
        <v>1175</v>
      </c>
      <c r="G27" s="92">
        <v>256.0</v>
      </c>
      <c r="H27" s="107">
        <f>(G27+G28+G29)</f>
        <v>1175</v>
      </c>
      <c r="I27" s="92">
        <v>256.0</v>
      </c>
      <c r="J27" s="107">
        <f>(I27+I28+I29)</f>
        <v>1175</v>
      </c>
      <c r="K27" s="92">
        <v>256.0</v>
      </c>
      <c r="L27" s="107">
        <f>(K27+K28+K29)</f>
        <v>1175</v>
      </c>
      <c r="M27" s="92">
        <v>256.0</v>
      </c>
      <c r="N27" s="107">
        <f>(M27+M28+M29)</f>
        <v>1175</v>
      </c>
      <c r="O27" s="92">
        <v>256.0</v>
      </c>
      <c r="P27" s="107">
        <f>(O27+O28+O29)</f>
        <v>1175</v>
      </c>
      <c r="Q27" s="92">
        <v>256.0</v>
      </c>
      <c r="R27" s="107">
        <f>(Q27+Q28+Q29)</f>
        <v>1175</v>
      </c>
      <c r="S27" s="92">
        <v>256.0</v>
      </c>
      <c r="T27" s="107">
        <f>(S27+S28+S29)</f>
        <v>1175</v>
      </c>
      <c r="U27" s="92">
        <v>256.0</v>
      </c>
      <c r="V27" s="107">
        <f>(U27+U28+U29)</f>
        <v>1175</v>
      </c>
      <c r="W27" s="92">
        <v>256.0</v>
      </c>
      <c r="X27" s="107">
        <f>(W27+W28+W29)</f>
        <v>1175</v>
      </c>
      <c r="Y27" s="92">
        <v>256.0</v>
      </c>
      <c r="Z27" s="107">
        <f>(Y27+Y28+Y29)</f>
        <v>1175</v>
      </c>
      <c r="AA27" s="127">
        <f>SUM(C27:Y27)</f>
        <v>15997</v>
      </c>
    </row>
    <row r="28">
      <c r="A28" s="74"/>
      <c r="B28" s="106" t="s">
        <v>111</v>
      </c>
      <c r="C28" s="92">
        <v>440.0</v>
      </c>
      <c r="D28" s="74"/>
      <c r="E28" s="92">
        <v>440.0</v>
      </c>
      <c r="F28" s="74"/>
      <c r="G28" s="92">
        <v>440.0</v>
      </c>
      <c r="H28" s="74"/>
      <c r="I28" s="92">
        <v>440.0</v>
      </c>
      <c r="J28" s="74"/>
      <c r="K28" s="92">
        <v>440.0</v>
      </c>
      <c r="L28" s="74"/>
      <c r="M28" s="92">
        <v>440.0</v>
      </c>
      <c r="N28" s="74"/>
      <c r="O28" s="92">
        <v>440.0</v>
      </c>
      <c r="P28" s="74"/>
      <c r="Q28" s="92">
        <v>440.0</v>
      </c>
      <c r="R28" s="74"/>
      <c r="S28" s="92">
        <v>440.0</v>
      </c>
      <c r="T28" s="74"/>
      <c r="U28" s="92">
        <v>440.0</v>
      </c>
      <c r="V28" s="74"/>
      <c r="W28" s="92">
        <v>440.0</v>
      </c>
      <c r="X28" s="74"/>
      <c r="Y28" s="92">
        <v>440.0</v>
      </c>
      <c r="Z28" s="74"/>
      <c r="AA28" s="74"/>
    </row>
    <row r="29">
      <c r="A29" s="78"/>
      <c r="B29" s="106" t="s">
        <v>53</v>
      </c>
      <c r="C29" s="92">
        <v>479.0</v>
      </c>
      <c r="D29" s="78"/>
      <c r="E29" s="92">
        <v>479.0</v>
      </c>
      <c r="F29" s="78"/>
      <c r="G29" s="92">
        <v>479.0</v>
      </c>
      <c r="H29" s="78"/>
      <c r="I29" s="92">
        <v>479.0</v>
      </c>
      <c r="J29" s="78"/>
      <c r="K29" s="92">
        <v>479.0</v>
      </c>
      <c r="L29" s="78"/>
      <c r="M29" s="92">
        <v>479.0</v>
      </c>
      <c r="N29" s="78"/>
      <c r="O29" s="92">
        <v>479.0</v>
      </c>
      <c r="P29" s="78"/>
      <c r="Q29" s="92">
        <v>479.0</v>
      </c>
      <c r="R29" s="78"/>
      <c r="S29" s="92">
        <v>479.0</v>
      </c>
      <c r="T29" s="78"/>
      <c r="U29" s="92">
        <v>479.0</v>
      </c>
      <c r="V29" s="78"/>
      <c r="W29" s="92">
        <v>479.0</v>
      </c>
      <c r="X29" s="78"/>
      <c r="Y29" s="92">
        <v>479.0</v>
      </c>
      <c r="Z29" s="78"/>
      <c r="AA29" s="78"/>
    </row>
    <row r="30">
      <c r="A30" s="124" t="s">
        <v>107</v>
      </c>
      <c r="B30" s="123" t="s">
        <v>10</v>
      </c>
      <c r="C30" s="92">
        <f>SUM(C27:C29)</f>
        <v>1175</v>
      </c>
      <c r="D30" s="126">
        <f>SUM(C30:C31)</f>
        <v>1363</v>
      </c>
      <c r="E30" s="92">
        <v>530.0</v>
      </c>
      <c r="F30" s="126">
        <f>SUM(E30:E31)</f>
        <v>718</v>
      </c>
      <c r="G30" s="92">
        <v>530.0</v>
      </c>
      <c r="H30" s="126">
        <f>SUM(G30:G31)</f>
        <v>718</v>
      </c>
      <c r="I30" s="92">
        <v>530.0</v>
      </c>
      <c r="J30" s="126">
        <f>SUM(I30:I31)</f>
        <v>718</v>
      </c>
      <c r="K30" s="92">
        <v>545.0</v>
      </c>
      <c r="L30" s="126">
        <f>SUM(K30:K31)</f>
        <v>760</v>
      </c>
      <c r="M30" s="92">
        <v>530.0</v>
      </c>
      <c r="N30" s="126">
        <f>SUM(M30:M31)</f>
        <v>718</v>
      </c>
      <c r="O30" s="92">
        <v>530.0</v>
      </c>
      <c r="P30" s="126">
        <f>SUM(O30:O31)</f>
        <v>718</v>
      </c>
      <c r="Q30" s="92">
        <v>545.0</v>
      </c>
      <c r="R30" s="126">
        <f>SUM(Q30:Q31)</f>
        <v>760</v>
      </c>
      <c r="S30" s="92">
        <v>545.0</v>
      </c>
      <c r="T30" s="126">
        <f>SUM(S30:S31)</f>
        <v>760</v>
      </c>
      <c r="U30" s="92">
        <v>545.0</v>
      </c>
      <c r="V30" s="126">
        <f>SUM(U30:U31)</f>
        <v>760</v>
      </c>
      <c r="W30" s="92">
        <v>545.0</v>
      </c>
      <c r="X30" s="126">
        <f>SUM(W30:W31)</f>
        <v>760</v>
      </c>
      <c r="Y30" s="92">
        <v>545.0</v>
      </c>
      <c r="Z30" s="126">
        <f>SUM(Y30:Y31)</f>
        <v>760</v>
      </c>
      <c r="AA30" s="73">
        <f t="shared" ref="AA30:AA31" si="3">SUM(C30:Y30)</f>
        <v>15848</v>
      </c>
    </row>
    <row r="31">
      <c r="A31" s="78"/>
      <c r="B31" s="123" t="s">
        <v>110</v>
      </c>
      <c r="C31" s="92">
        <v>188.0</v>
      </c>
      <c r="D31" s="78"/>
      <c r="E31" s="92">
        <v>188.0</v>
      </c>
      <c r="F31" s="78"/>
      <c r="G31" s="92">
        <v>188.0</v>
      </c>
      <c r="H31" s="78"/>
      <c r="I31" s="92">
        <v>188.0</v>
      </c>
      <c r="J31" s="78"/>
      <c r="K31" s="92">
        <v>215.0</v>
      </c>
      <c r="L31" s="78"/>
      <c r="M31" s="92">
        <v>188.0</v>
      </c>
      <c r="N31" s="78"/>
      <c r="O31" s="92">
        <v>188.0</v>
      </c>
      <c r="P31" s="78"/>
      <c r="Q31" s="92">
        <v>215.0</v>
      </c>
      <c r="R31" s="78"/>
      <c r="S31" s="92">
        <v>215.0</v>
      </c>
      <c r="T31" s="78"/>
      <c r="U31" s="92">
        <v>215.0</v>
      </c>
      <c r="V31" s="78"/>
      <c r="W31" s="92">
        <v>215.0</v>
      </c>
      <c r="X31" s="78"/>
      <c r="Y31" s="92">
        <v>215.0</v>
      </c>
      <c r="Z31" s="78"/>
      <c r="AA31" s="73">
        <f t="shared" si="3"/>
        <v>2418</v>
      </c>
    </row>
    <row r="32">
      <c r="D32" s="31"/>
      <c r="F32" s="31"/>
      <c r="H32" s="31"/>
      <c r="J32" s="31"/>
      <c r="L32" s="31"/>
    </row>
    <row r="36">
      <c r="A36" s="132"/>
      <c r="B36" s="133" t="s">
        <v>120</v>
      </c>
      <c r="C36" s="134" t="s">
        <v>121</v>
      </c>
      <c r="E36" s="134" t="s">
        <v>122</v>
      </c>
      <c r="G36" s="10"/>
      <c r="H36" s="135" t="s">
        <v>123</v>
      </c>
      <c r="J36" s="135" t="s">
        <v>122</v>
      </c>
    </row>
    <row r="37">
      <c r="A37" s="133" t="s">
        <v>124</v>
      </c>
      <c r="B37" s="136">
        <f>(J42-E56)</f>
        <v>32097</v>
      </c>
      <c r="C37" s="137" t="s">
        <v>50</v>
      </c>
      <c r="E37" s="138">
        <v>7160.0</v>
      </c>
      <c r="G37" s="139"/>
      <c r="H37" s="137" t="s">
        <v>125</v>
      </c>
      <c r="J37" s="138">
        <v>30000.0</v>
      </c>
    </row>
    <row r="38">
      <c r="A38" s="139"/>
      <c r="B38" s="139"/>
      <c r="C38" s="10" t="s">
        <v>5</v>
      </c>
      <c r="E38" s="140">
        <v>554.0</v>
      </c>
      <c r="G38" s="139"/>
      <c r="H38" s="10" t="s">
        <v>125</v>
      </c>
      <c r="J38" s="140">
        <v>4558.0</v>
      </c>
    </row>
    <row r="39">
      <c r="A39" s="141"/>
      <c r="B39" s="142" t="s">
        <v>126</v>
      </c>
      <c r="C39" s="137" t="s">
        <v>127</v>
      </c>
      <c r="E39" s="138">
        <v>2776.0</v>
      </c>
      <c r="G39" s="139"/>
      <c r="H39" s="137" t="s">
        <v>128</v>
      </c>
      <c r="J39" s="138">
        <v>1100.0</v>
      </c>
    </row>
    <row r="40">
      <c r="A40" s="142" t="s">
        <v>129</v>
      </c>
      <c r="B40" s="143">
        <f>(B37-E42)</f>
        <v>9937</v>
      </c>
      <c r="C40" s="10" t="s">
        <v>130</v>
      </c>
      <c r="E40" s="140">
        <v>2220.0</v>
      </c>
      <c r="G40" s="139"/>
      <c r="H40" s="10"/>
      <c r="J40" s="140"/>
    </row>
    <row r="41">
      <c r="A41" s="139"/>
      <c r="B41" s="139"/>
      <c r="C41" s="137" t="s">
        <v>131</v>
      </c>
      <c r="E41" s="138">
        <v>9450.0</v>
      </c>
      <c r="G41" s="139"/>
      <c r="H41" s="137"/>
      <c r="J41" s="138"/>
    </row>
    <row r="42">
      <c r="A42" s="139"/>
      <c r="B42" s="139"/>
      <c r="C42" s="9" t="s">
        <v>15</v>
      </c>
      <c r="E42" s="144">
        <f>SUM(E37:F41)</f>
        <v>22160</v>
      </c>
      <c r="G42" s="139"/>
      <c r="H42" s="134" t="s">
        <v>15</v>
      </c>
      <c r="J42" s="145">
        <f>SUM(J37:K41)</f>
        <v>35658</v>
      </c>
    </row>
    <row r="43">
      <c r="A43" s="139"/>
      <c r="B43" s="139"/>
      <c r="C43" s="139"/>
      <c r="D43" s="139"/>
      <c r="E43" s="139"/>
      <c r="F43" s="139"/>
      <c r="G43" s="139"/>
    </row>
    <row r="44">
      <c r="C44" s="146" t="s">
        <v>132</v>
      </c>
      <c r="E44" s="146" t="s">
        <v>133</v>
      </c>
    </row>
    <row r="45">
      <c r="C45" s="147">
        <v>45997.0</v>
      </c>
      <c r="E45" s="138">
        <v>60.0</v>
      </c>
    </row>
    <row r="46">
      <c r="C46" s="148">
        <v>46003.0</v>
      </c>
      <c r="E46" s="140">
        <v>50.0</v>
      </c>
    </row>
    <row r="47">
      <c r="C47" s="149">
        <v>46003.0</v>
      </c>
      <c r="E47" s="138">
        <v>50.0</v>
      </c>
    </row>
    <row r="48">
      <c r="C48" s="148">
        <v>46004.0</v>
      </c>
      <c r="E48" s="140">
        <v>30.0</v>
      </c>
    </row>
    <row r="49">
      <c r="C49" s="149">
        <v>46019.0</v>
      </c>
      <c r="E49" s="138">
        <v>111.0</v>
      </c>
    </row>
    <row r="50">
      <c r="C50" s="149">
        <v>46070.0</v>
      </c>
      <c r="E50" s="138">
        <v>1000.0</v>
      </c>
    </row>
    <row r="51">
      <c r="C51" s="149">
        <v>46071.0</v>
      </c>
      <c r="E51" s="138">
        <v>500.0</v>
      </c>
    </row>
    <row r="52">
      <c r="C52" s="149">
        <v>46104.0</v>
      </c>
      <c r="E52" s="138">
        <v>1660.0</v>
      </c>
      <c r="G52" s="31" t="s">
        <v>135</v>
      </c>
    </row>
    <row r="53">
      <c r="C53" s="149">
        <v>45011.0</v>
      </c>
      <c r="E53" s="138">
        <v>100.0</v>
      </c>
      <c r="G53" s="31" t="s">
        <v>98</v>
      </c>
    </row>
    <row r="54">
      <c r="C54" s="149"/>
      <c r="E54" s="138"/>
    </row>
    <row r="55">
      <c r="C55" s="149"/>
      <c r="E55" s="138"/>
    </row>
    <row r="56">
      <c r="C56" s="151" t="s">
        <v>15</v>
      </c>
      <c r="E56" s="152">
        <f>SUM(E45:F55)</f>
        <v>3561</v>
      </c>
    </row>
  </sheetData>
  <mergeCells count="244">
    <mergeCell ref="O1:P1"/>
    <mergeCell ref="Q1:R1"/>
    <mergeCell ref="S1:T1"/>
    <mergeCell ref="U1:V1"/>
    <mergeCell ref="W1:X1"/>
    <mergeCell ref="Y1:Z1"/>
    <mergeCell ref="K2:L2"/>
    <mergeCell ref="M2:N2"/>
    <mergeCell ref="O2:P2"/>
    <mergeCell ref="Q2:R2"/>
    <mergeCell ref="S2:T2"/>
    <mergeCell ref="U2:V2"/>
    <mergeCell ref="W2:X2"/>
    <mergeCell ref="Y2:Z2"/>
    <mergeCell ref="A1:B2"/>
    <mergeCell ref="C1:D1"/>
    <mergeCell ref="E1:F1"/>
    <mergeCell ref="G1:H1"/>
    <mergeCell ref="I1:J1"/>
    <mergeCell ref="K1:L1"/>
    <mergeCell ref="M1:N1"/>
    <mergeCell ref="Q3:R3"/>
    <mergeCell ref="S3:T3"/>
    <mergeCell ref="U3:V3"/>
    <mergeCell ref="W3:X3"/>
    <mergeCell ref="Y3:Z3"/>
    <mergeCell ref="G2:H2"/>
    <mergeCell ref="I2:J2"/>
    <mergeCell ref="G3:H3"/>
    <mergeCell ref="I3:J3"/>
    <mergeCell ref="K3:L3"/>
    <mergeCell ref="M3:N3"/>
    <mergeCell ref="O3:P3"/>
    <mergeCell ref="U4:V4"/>
    <mergeCell ref="W4:X4"/>
    <mergeCell ref="Y4:Z4"/>
    <mergeCell ref="G4:H4"/>
    <mergeCell ref="I4:J4"/>
    <mergeCell ref="K4:L4"/>
    <mergeCell ref="M4:N4"/>
    <mergeCell ref="O4:P4"/>
    <mergeCell ref="Q4:R4"/>
    <mergeCell ref="S4:T4"/>
    <mergeCell ref="Q5:R5"/>
    <mergeCell ref="S5:T5"/>
    <mergeCell ref="U5:V5"/>
    <mergeCell ref="W5:X5"/>
    <mergeCell ref="Y5:Z5"/>
    <mergeCell ref="C5:D5"/>
    <mergeCell ref="E5:F5"/>
    <mergeCell ref="G5:H5"/>
    <mergeCell ref="I5:J5"/>
    <mergeCell ref="K5:L5"/>
    <mergeCell ref="M5:N5"/>
    <mergeCell ref="O5:P5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O6:P6"/>
    <mergeCell ref="O7:P7"/>
    <mergeCell ref="Q7:R7"/>
    <mergeCell ref="S7:T7"/>
    <mergeCell ref="U7:V7"/>
    <mergeCell ref="W7:X7"/>
    <mergeCell ref="Y7:Z7"/>
    <mergeCell ref="A7:B7"/>
    <mergeCell ref="C7:D7"/>
    <mergeCell ref="E7:F7"/>
    <mergeCell ref="G7:H7"/>
    <mergeCell ref="I7:J7"/>
    <mergeCell ref="K7:L7"/>
    <mergeCell ref="M7:N7"/>
    <mergeCell ref="C2:D2"/>
    <mergeCell ref="E2:F2"/>
    <mergeCell ref="A3:A6"/>
    <mergeCell ref="C3:D3"/>
    <mergeCell ref="E3:F3"/>
    <mergeCell ref="C4:D4"/>
    <mergeCell ref="E4:F4"/>
    <mergeCell ref="R9:R11"/>
    <mergeCell ref="T9:T11"/>
    <mergeCell ref="V9:V11"/>
    <mergeCell ref="X9:X11"/>
    <mergeCell ref="Z9:Z11"/>
    <mergeCell ref="N9:N11"/>
    <mergeCell ref="N12:N13"/>
    <mergeCell ref="N14:N16"/>
    <mergeCell ref="P14:P16"/>
    <mergeCell ref="R14:R16"/>
    <mergeCell ref="T14:T16"/>
    <mergeCell ref="V14:V16"/>
    <mergeCell ref="Q8:R8"/>
    <mergeCell ref="S8:T8"/>
    <mergeCell ref="U8:V8"/>
    <mergeCell ref="W8:X8"/>
    <mergeCell ref="Y8:Z8"/>
    <mergeCell ref="AA8:AB8"/>
    <mergeCell ref="C8:D8"/>
    <mergeCell ref="E8:F8"/>
    <mergeCell ref="G8:H8"/>
    <mergeCell ref="I8:J8"/>
    <mergeCell ref="K8:L8"/>
    <mergeCell ref="M8:N8"/>
    <mergeCell ref="O8:P8"/>
    <mergeCell ref="P12:P13"/>
    <mergeCell ref="R12:R13"/>
    <mergeCell ref="T12:T13"/>
    <mergeCell ref="V12:V13"/>
    <mergeCell ref="X12:X13"/>
    <mergeCell ref="Z12:Z13"/>
    <mergeCell ref="D9:D11"/>
    <mergeCell ref="H9:H11"/>
    <mergeCell ref="L9:L11"/>
    <mergeCell ref="P9:P11"/>
    <mergeCell ref="D12:D13"/>
    <mergeCell ref="H12:H13"/>
    <mergeCell ref="L12:L13"/>
    <mergeCell ref="X14:X16"/>
    <mergeCell ref="Z14:Z16"/>
    <mergeCell ref="F14:F16"/>
    <mergeCell ref="F18:F19"/>
    <mergeCell ref="P18:P19"/>
    <mergeCell ref="R18:R19"/>
    <mergeCell ref="T18:T19"/>
    <mergeCell ref="V18:V19"/>
    <mergeCell ref="X18:X19"/>
    <mergeCell ref="Z18:Z19"/>
    <mergeCell ref="J9:J11"/>
    <mergeCell ref="J12:J13"/>
    <mergeCell ref="J14:J16"/>
    <mergeCell ref="L14:L16"/>
    <mergeCell ref="J18:J19"/>
    <mergeCell ref="L18:L19"/>
    <mergeCell ref="N18:N19"/>
    <mergeCell ref="F9:F11"/>
    <mergeCell ref="F12:F13"/>
    <mergeCell ref="A14:A16"/>
    <mergeCell ref="D14:D16"/>
    <mergeCell ref="H14:H16"/>
    <mergeCell ref="D18:D19"/>
    <mergeCell ref="H18:H19"/>
    <mergeCell ref="N21:N22"/>
    <mergeCell ref="P21:P22"/>
    <mergeCell ref="R21:R22"/>
    <mergeCell ref="T21:T22"/>
    <mergeCell ref="V21:V22"/>
    <mergeCell ref="X21:X22"/>
    <mergeCell ref="Z21:Z22"/>
    <mergeCell ref="D21:D24"/>
    <mergeCell ref="D27:D29"/>
    <mergeCell ref="X27:X29"/>
    <mergeCell ref="Z27:Z29"/>
    <mergeCell ref="AA27:AA29"/>
    <mergeCell ref="J27:J29"/>
    <mergeCell ref="L27:L29"/>
    <mergeCell ref="N27:N29"/>
    <mergeCell ref="P27:P29"/>
    <mergeCell ref="R27:R29"/>
    <mergeCell ref="T27:T29"/>
    <mergeCell ref="V27:V29"/>
    <mergeCell ref="P30:P31"/>
    <mergeCell ref="R30:R31"/>
    <mergeCell ref="T30:T31"/>
    <mergeCell ref="V30:V31"/>
    <mergeCell ref="X30:X31"/>
    <mergeCell ref="Z30:Z31"/>
    <mergeCell ref="A30:A31"/>
    <mergeCell ref="D30:D31"/>
    <mergeCell ref="F30:F31"/>
    <mergeCell ref="H30:H31"/>
    <mergeCell ref="J30:J31"/>
    <mergeCell ref="L30:L31"/>
    <mergeCell ref="N30:N31"/>
    <mergeCell ref="C44:D44"/>
    <mergeCell ref="E44:F44"/>
    <mergeCell ref="C45:D45"/>
    <mergeCell ref="E45:F45"/>
    <mergeCell ref="C46:D46"/>
    <mergeCell ref="E46:F46"/>
    <mergeCell ref="E47:F47"/>
    <mergeCell ref="C47:D47"/>
    <mergeCell ref="C48:D48"/>
    <mergeCell ref="C49:D49"/>
    <mergeCell ref="C50:D50"/>
    <mergeCell ref="E50:F50"/>
    <mergeCell ref="C51:D51"/>
    <mergeCell ref="E51:F51"/>
    <mergeCell ref="C55:D55"/>
    <mergeCell ref="C56:D56"/>
    <mergeCell ref="C52:D52"/>
    <mergeCell ref="E52:F52"/>
    <mergeCell ref="C53:D53"/>
    <mergeCell ref="E53:F53"/>
    <mergeCell ref="C54:D54"/>
    <mergeCell ref="E54:F54"/>
    <mergeCell ref="E55:F55"/>
    <mergeCell ref="E56:F56"/>
    <mergeCell ref="A18:A19"/>
    <mergeCell ref="A21:A24"/>
    <mergeCell ref="F21:F23"/>
    <mergeCell ref="H21:H22"/>
    <mergeCell ref="J21:J22"/>
    <mergeCell ref="L21:L22"/>
    <mergeCell ref="A27:A29"/>
    <mergeCell ref="H36:I36"/>
    <mergeCell ref="H37:I37"/>
    <mergeCell ref="H38:I38"/>
    <mergeCell ref="J38:K38"/>
    <mergeCell ref="H39:I39"/>
    <mergeCell ref="J39:K39"/>
    <mergeCell ref="H40:I40"/>
    <mergeCell ref="J40:K40"/>
    <mergeCell ref="F27:F29"/>
    <mergeCell ref="H27:H29"/>
    <mergeCell ref="C36:D36"/>
    <mergeCell ref="E36:F36"/>
    <mergeCell ref="J36:K36"/>
    <mergeCell ref="E37:F37"/>
    <mergeCell ref="J37:K37"/>
    <mergeCell ref="C41:D41"/>
    <mergeCell ref="E41:F41"/>
    <mergeCell ref="H41:I41"/>
    <mergeCell ref="J41:K41"/>
    <mergeCell ref="C42:D42"/>
    <mergeCell ref="E42:F42"/>
    <mergeCell ref="H42:I42"/>
    <mergeCell ref="J42:K42"/>
    <mergeCell ref="C37:D37"/>
    <mergeCell ref="C38:D38"/>
    <mergeCell ref="E38:F38"/>
    <mergeCell ref="C39:D39"/>
    <mergeCell ref="E39:F39"/>
    <mergeCell ref="C40:D40"/>
    <mergeCell ref="E40:F40"/>
    <mergeCell ref="E48:F48"/>
    <mergeCell ref="E49:F49"/>
  </mergeCells>
  <conditionalFormatting sqref="C1:Z1">
    <cfRule type="cellIs" dxfId="0" priority="1" operator="greaterThan">
      <formula>0</formula>
    </cfRule>
  </conditionalFormatting>
  <conditionalFormatting sqref="C1:Z1">
    <cfRule type="cellIs" dxfId="1" priority="2" operator="lessThan">
      <formula>0</formula>
    </cfRule>
  </conditionalFormatting>
  <drawing r:id="rId1"/>
</worksheet>
</file>